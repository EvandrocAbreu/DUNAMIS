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EVANDROABREU\Documents\Cadstro Dunamis\"/>
    </mc:Choice>
  </mc:AlternateContent>
  <xr:revisionPtr revIDLastSave="0" documentId="13_ncr:1_{1BF520D6-9CC4-415C-B2EC-B76BCD51C38A}" xr6:coauthVersionLast="47" xr6:coauthVersionMax="47" xr10:uidLastSave="{00000000-0000-0000-0000-000000000000}"/>
  <bookViews>
    <workbookView showHorizontalScroll="0" showVerticalScroll="0" xWindow="28680" yWindow="-120" windowWidth="29040" windowHeight="15720" xr2:uid="{45DC0A1C-9F1D-41DC-B502-737593CF3CA0}"/>
  </bookViews>
  <sheets>
    <sheet name="BANCO DE DADOS" sheetId="1" r:id="rId1"/>
  </sheets>
  <externalReferences>
    <externalReference r:id="rId2"/>
  </externalReferences>
  <definedNames>
    <definedName name="Imagem_Vendedor">INDEX([1]Vendedor!$B$2:$B$7,MATCH([1]Análise!$D$3,[1]Vendedor!$A$2:$A$7,0))</definedName>
    <definedName name="Tel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5" i="1" l="1"/>
  <c r="I14" i="1"/>
  <c r="I13" i="1"/>
  <c r="I12" i="1"/>
  <c r="I11" i="1"/>
  <c r="I10" i="1"/>
  <c r="I9" i="1"/>
  <c r="I8" i="1"/>
  <c r="I7" i="1"/>
  <c r="I6" i="1"/>
  <c r="I5" i="1"/>
  <c r="I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4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C110" i="1"/>
  <c r="J110" i="1" s="1"/>
  <c r="C111" i="1"/>
  <c r="J111" i="1" s="1"/>
  <c r="C109" i="1"/>
  <c r="J109" i="1" s="1"/>
  <c r="C105" i="1"/>
  <c r="J105" i="1" s="1"/>
  <c r="C106" i="1"/>
  <c r="J106" i="1" s="1"/>
  <c r="C107" i="1"/>
  <c r="J107" i="1" s="1"/>
  <c r="C108" i="1"/>
  <c r="J108" i="1" s="1"/>
  <c r="C102" i="1"/>
  <c r="J102" i="1" s="1"/>
  <c r="C103" i="1"/>
  <c r="J103" i="1" s="1"/>
  <c r="C104" i="1"/>
  <c r="J104" i="1" s="1"/>
  <c r="C100" i="1"/>
  <c r="J100" i="1" s="1"/>
  <c r="C101" i="1"/>
  <c r="J101" i="1" s="1"/>
  <c r="C98" i="1"/>
  <c r="J98" i="1" s="1"/>
  <c r="C99" i="1"/>
  <c r="J99" i="1" s="1"/>
  <c r="C94" i="1"/>
  <c r="J94" i="1" s="1"/>
  <c r="C95" i="1"/>
  <c r="J95" i="1" s="1"/>
  <c r="C96" i="1"/>
  <c r="J96" i="1" s="1"/>
  <c r="C97" i="1"/>
  <c r="J97" i="1" s="1"/>
  <c r="C91" i="1"/>
  <c r="J91" i="1" s="1"/>
  <c r="C92" i="1"/>
  <c r="J92" i="1" s="1"/>
  <c r="C93" i="1"/>
  <c r="J93" i="1" s="1"/>
  <c r="C88" i="1"/>
  <c r="J88" i="1" s="1"/>
  <c r="C89" i="1"/>
  <c r="J89" i="1" s="1"/>
  <c r="C90" i="1"/>
  <c r="J90" i="1" s="1"/>
  <c r="C87" i="1"/>
  <c r="J87" i="1" s="1"/>
  <c r="C83" i="1"/>
  <c r="J83" i="1" s="1"/>
  <c r="C84" i="1"/>
  <c r="J84" i="1" s="1"/>
  <c r="C85" i="1"/>
  <c r="J85" i="1" s="1"/>
  <c r="C86" i="1"/>
  <c r="J86" i="1" s="1"/>
  <c r="C79" i="1"/>
  <c r="J79" i="1" s="1"/>
  <c r="C80" i="1"/>
  <c r="J80" i="1" s="1"/>
  <c r="C81" i="1"/>
  <c r="J81" i="1" s="1"/>
  <c r="C82" i="1"/>
  <c r="J82" i="1" s="1"/>
  <c r="C75" i="1"/>
  <c r="J75" i="1" s="1"/>
  <c r="C76" i="1"/>
  <c r="J76" i="1" s="1"/>
  <c r="C77" i="1"/>
  <c r="J77" i="1" s="1"/>
  <c r="C78" i="1"/>
  <c r="J78" i="1" s="1"/>
  <c r="C70" i="1"/>
  <c r="J70" i="1" s="1"/>
  <c r="C71" i="1"/>
  <c r="J71" i="1" s="1"/>
  <c r="C72" i="1"/>
  <c r="J72" i="1" s="1"/>
  <c r="C73" i="1"/>
  <c r="J73" i="1" s="1"/>
  <c r="C74" i="1"/>
  <c r="J74" i="1" s="1"/>
  <c r="C69" i="1"/>
  <c r="J69" i="1" s="1"/>
  <c r="C65" i="1"/>
  <c r="J65" i="1" s="1"/>
  <c r="C66" i="1"/>
  <c r="J66" i="1" s="1"/>
  <c r="C67" i="1"/>
  <c r="J67" i="1" s="1"/>
  <c r="C68" i="1"/>
  <c r="J68" i="1" s="1"/>
  <c r="C64" i="1"/>
  <c r="J64" i="1" s="1"/>
  <c r="C61" i="1"/>
  <c r="J61" i="1" s="1"/>
  <c r="C62" i="1"/>
  <c r="J62" i="1" s="1"/>
  <c r="C63" i="1"/>
  <c r="J63" i="1" s="1"/>
  <c r="C57" i="1"/>
  <c r="J57" i="1" s="1"/>
  <c r="C58" i="1"/>
  <c r="J58" i="1" s="1"/>
  <c r="C59" i="1"/>
  <c r="J59" i="1" s="1"/>
  <c r="C60" i="1"/>
  <c r="J60" i="1" s="1"/>
  <c r="C56" i="1"/>
  <c r="J56" i="1" s="1"/>
  <c r="C5" i="1"/>
  <c r="J5" i="1" s="1"/>
  <c r="C6" i="1"/>
  <c r="J6" i="1" s="1"/>
  <c r="C7" i="1"/>
  <c r="J7" i="1" s="1"/>
  <c r="C8" i="1"/>
  <c r="J8" i="1" s="1"/>
  <c r="C9" i="1"/>
  <c r="J9" i="1" s="1"/>
  <c r="C10" i="1"/>
  <c r="J10" i="1" s="1"/>
  <c r="C11" i="1"/>
  <c r="J11" i="1" s="1"/>
  <c r="C12" i="1"/>
  <c r="J12" i="1" s="1"/>
  <c r="C13" i="1"/>
  <c r="J13" i="1" s="1"/>
  <c r="C14" i="1"/>
  <c r="J14" i="1" s="1"/>
  <c r="C15" i="1"/>
  <c r="J15" i="1" s="1"/>
  <c r="C16" i="1"/>
  <c r="J16" i="1" s="1"/>
  <c r="C17" i="1"/>
  <c r="J17" i="1" s="1"/>
  <c r="C18" i="1"/>
  <c r="J18" i="1" s="1"/>
  <c r="C19" i="1"/>
  <c r="J19" i="1" s="1"/>
  <c r="C20" i="1"/>
  <c r="J20" i="1" s="1"/>
  <c r="C21" i="1"/>
  <c r="J21" i="1" s="1"/>
  <c r="C22" i="1"/>
  <c r="J22" i="1" s="1"/>
  <c r="C23" i="1"/>
  <c r="J23" i="1" s="1"/>
  <c r="C24" i="1"/>
  <c r="J24" i="1" s="1"/>
  <c r="C25" i="1"/>
  <c r="J25" i="1" s="1"/>
  <c r="C26" i="1"/>
  <c r="J26" i="1" s="1"/>
  <c r="C27" i="1"/>
  <c r="J27" i="1" s="1"/>
  <c r="C28" i="1"/>
  <c r="J28" i="1" s="1"/>
  <c r="C29" i="1"/>
  <c r="J29" i="1" s="1"/>
  <c r="C30" i="1"/>
  <c r="J30" i="1" s="1"/>
  <c r="C31" i="1"/>
  <c r="J31" i="1" s="1"/>
  <c r="C32" i="1"/>
  <c r="J32" i="1" s="1"/>
  <c r="C33" i="1"/>
  <c r="J33" i="1" s="1"/>
  <c r="C34" i="1"/>
  <c r="J34" i="1" s="1"/>
  <c r="C35" i="1"/>
  <c r="J35" i="1" s="1"/>
  <c r="C36" i="1"/>
  <c r="J36" i="1" s="1"/>
  <c r="C37" i="1"/>
  <c r="J37" i="1" s="1"/>
  <c r="C38" i="1"/>
  <c r="J38" i="1" s="1"/>
  <c r="C39" i="1"/>
  <c r="J39" i="1" s="1"/>
  <c r="C40" i="1"/>
  <c r="J40" i="1" s="1"/>
  <c r="C41" i="1"/>
  <c r="J41" i="1" s="1"/>
  <c r="C42" i="1"/>
  <c r="J42" i="1" s="1"/>
  <c r="C43" i="1"/>
  <c r="J43" i="1" s="1"/>
  <c r="C44" i="1"/>
  <c r="J44" i="1" s="1"/>
  <c r="C45" i="1"/>
  <c r="J45" i="1" s="1"/>
  <c r="C46" i="1"/>
  <c r="J46" i="1" s="1"/>
  <c r="C47" i="1"/>
  <c r="J47" i="1" s="1"/>
  <c r="C48" i="1"/>
  <c r="J48" i="1" s="1"/>
  <c r="C49" i="1"/>
  <c r="J49" i="1" s="1"/>
  <c r="C50" i="1"/>
  <c r="J50" i="1" s="1"/>
  <c r="C51" i="1"/>
  <c r="J51" i="1" s="1"/>
  <c r="C52" i="1"/>
  <c r="J52" i="1" s="1"/>
  <c r="C53" i="1"/>
  <c r="J53" i="1" s="1"/>
  <c r="C54" i="1"/>
  <c r="J54" i="1" s="1"/>
  <c r="C55" i="1"/>
  <c r="J55" i="1" s="1"/>
  <c r="C4" i="1"/>
  <c r="J4" i="1" s="1"/>
</calcChain>
</file>

<file path=xl/sharedStrings.xml><?xml version="1.0" encoding="utf-8"?>
<sst xmlns="http://schemas.openxmlformats.org/spreadsheetml/2006/main" count="503" uniqueCount="241">
  <si>
    <t>Estado Civil</t>
  </si>
  <si>
    <t>Idade</t>
  </si>
  <si>
    <t>Discipulado</t>
  </si>
  <si>
    <t>Histórico de presença</t>
  </si>
  <si>
    <t>Nome da Família</t>
  </si>
  <si>
    <t>JAQUELINE DO ESPÍRITO STO. MAIA</t>
  </si>
  <si>
    <t xml:space="preserve">VALENTINA (filha de Everson e Jaqueline)  </t>
  </si>
  <si>
    <t xml:space="preserve">THÉO DO ESPÍRITO SANTO MAIA      </t>
  </si>
  <si>
    <t>CASADO</t>
  </si>
  <si>
    <t>CASADA</t>
  </si>
  <si>
    <t>SOLTEIRA</t>
  </si>
  <si>
    <t>SOLTEIRO</t>
  </si>
  <si>
    <t>96935-2482</t>
  </si>
  <si>
    <t>96475-8411</t>
  </si>
  <si>
    <t>Rua Raul Menezes, 20 – Campo Grande</t>
  </si>
  <si>
    <t>Dunamis</t>
  </si>
  <si>
    <t>Alan Carlo Rocha Neves</t>
  </si>
  <si>
    <t>LUANA SANTOS DE MELO NEVES</t>
  </si>
  <si>
    <t xml:space="preserve">ALICE CARLA DE MELO NEVES </t>
  </si>
  <si>
    <t>Solteira</t>
  </si>
  <si>
    <t>99393-3370</t>
  </si>
  <si>
    <t>99463-1818</t>
  </si>
  <si>
    <t>Est. do Mendanha, 2870 -Bl 9/201 - Campo Grande</t>
  </si>
  <si>
    <t>ALINE CRISTINA DA SILVA DE PAULA RODRIGUES</t>
  </si>
  <si>
    <t xml:space="preserve">LETICIA DA S. DE P. RODRIGUES </t>
  </si>
  <si>
    <t xml:space="preserve">LIVIA DA S. DE P. RODRIGUES </t>
  </si>
  <si>
    <t>98645-7394</t>
  </si>
  <si>
    <t>Rua Antônio Campos Neto, 140 C 2- Fd - Campo Grande</t>
  </si>
  <si>
    <t>ANA CARLA MAGALHAES</t>
  </si>
  <si>
    <t xml:space="preserve">ALEXSANDRA MAGALHAES                </t>
  </si>
  <si>
    <t>VIÚVA</t>
  </si>
  <si>
    <t>98905-0144</t>
  </si>
  <si>
    <t>Estrada Guandu Sapê,  1444, casa 37  - Campo Grande</t>
  </si>
  <si>
    <t>AUGUSTO CESAR GUERRA MARINHO</t>
  </si>
  <si>
    <t>ANGELICA CONCEIÇÃO DE JESUS</t>
  </si>
  <si>
    <t xml:space="preserve">VICTORIA DE JESUS MARINHO         </t>
  </si>
  <si>
    <t>96419-9668</t>
  </si>
  <si>
    <t>96419-4585</t>
  </si>
  <si>
    <t>Rua Ambrósio Barbosa da Silva,135 - Jardim Letícia - Campo Grande</t>
  </si>
  <si>
    <t>BENIGNO BUARQUE MORAES</t>
  </si>
  <si>
    <t>MARIA HELENA FLORENCIO MORAES</t>
  </si>
  <si>
    <t>97440-7767</t>
  </si>
  <si>
    <t xml:space="preserve">Rua 41, lote 14 – Qdra 36.a – Bairro N. S. das Graças – Campo. Grande </t>
  </si>
  <si>
    <t>CRISTINA FERREIRA RIBEIRO</t>
  </si>
  <si>
    <t xml:space="preserve">JHULIA RIBEIRO SILVA              </t>
  </si>
  <si>
    <t>99414-2304</t>
  </si>
  <si>
    <t>Rua Ponta Negra, 5 – Qd 1 - Santa Inês – Campo. Ganrde – CEP: 23.09 .5050</t>
  </si>
  <si>
    <t>Rua Ponta Negra, 5 – Qd 1 - Santa Inês – Campo. Ganrde – CEP: 23.09 .5051</t>
  </si>
  <si>
    <t>DANIEL FRANÇA DOS SANTOS</t>
  </si>
  <si>
    <t>ALBA CRISTINA ARAUJO DOS SANTOS</t>
  </si>
  <si>
    <t xml:space="preserve">SOPHIA ARAUJO FRANÇA DOS STOS  </t>
  </si>
  <si>
    <t>98683-9093</t>
  </si>
  <si>
    <t>98681-7900</t>
  </si>
  <si>
    <t>Rua Byron, 555 – Bairro São Geraldo – Campo Grande</t>
  </si>
  <si>
    <t>DAVI BENIGNO FLORENCIO MORAES</t>
  </si>
  <si>
    <t>ELIDA RODRIGUES ALEXANDRE DE SOUZA</t>
  </si>
  <si>
    <t xml:space="preserve">GUILHERME ALEXANDRE DE SOUZA  </t>
  </si>
  <si>
    <t xml:space="preserve">GUSTAVO ALEXANDRE DE SOUZA      </t>
  </si>
  <si>
    <t xml:space="preserve">GAEL ALEXANDRE DE SOUZA               </t>
  </si>
  <si>
    <t>99437-9568</t>
  </si>
  <si>
    <t>Est. do Mendanha, 2046, casa1 – Campo. Grande</t>
  </si>
  <si>
    <t>ERICA BARBOSA SANTIAGO PESTANA</t>
  </si>
  <si>
    <t>MARCELO LOUREIRO DE ABREU PESTANA</t>
  </si>
  <si>
    <t xml:space="preserve">DAVI SANTIAGO PESTANA            </t>
  </si>
  <si>
    <t xml:space="preserve">PEDRO SANTIAGO PESTANA        </t>
  </si>
  <si>
    <t>99971-6218</t>
  </si>
  <si>
    <t>99998-6968</t>
  </si>
  <si>
    <t xml:space="preserve">Estrada do Mendanha, 2795 – casa 3 A – quadra 8 – Rua D – Condomínio Girassol </t>
  </si>
  <si>
    <t xml:space="preserve">FÁBIO DOS SANTOS FRANÇA     </t>
  </si>
  <si>
    <t>99450-9539</t>
  </si>
  <si>
    <t>Estrada Guandu Sapê, 1450, bl-8, apt. 404 – Campo Grande</t>
  </si>
  <si>
    <t>EDUARDO</t>
  </si>
  <si>
    <t>VIVIANE CRISTINA ALVES DE CARVALHO DE ALBUQUERQUE</t>
  </si>
  <si>
    <t xml:space="preserve">VICTOR ALBUQUERQUE                 </t>
  </si>
  <si>
    <t>96441-4557</t>
  </si>
  <si>
    <t>98101-8947</t>
  </si>
  <si>
    <t>Rua Cícero de Magalhães Gomes, 280 – Jardim Paulista- Campo Grande</t>
  </si>
  <si>
    <t>FRANCISCO DO COUTO MUNIZ</t>
  </si>
  <si>
    <t>ROSA MARIA MUNIZ</t>
  </si>
  <si>
    <t>97924-4931</t>
  </si>
  <si>
    <t>99939-9871</t>
  </si>
  <si>
    <t>Rua Almirante Justino Proença, 318/202 – Campo Grande</t>
  </si>
  <si>
    <t>IGOR LISBOA DO NASCIMENTO</t>
  </si>
  <si>
    <t>97125-8733</t>
  </si>
  <si>
    <t>Travessa Chimborazo, 08 –Vila Kennedy (próx: campo da vila</t>
  </si>
  <si>
    <t>JACINTHO RODRIGUES FILHO</t>
  </si>
  <si>
    <t>ROSILEIA DA SILVA MOREIRA RODRIGUES</t>
  </si>
  <si>
    <t>99816-6219</t>
  </si>
  <si>
    <t>Rua Cosme e Damião, 345 – Campo Grande</t>
  </si>
  <si>
    <t>CRISTIANE PEREIRA DOS S. DA SILVA</t>
  </si>
  <si>
    <t>ESPOSO</t>
  </si>
  <si>
    <t xml:space="preserve">JOÃO PEDRO DOS SANTOS DA SILVA        </t>
  </si>
  <si>
    <t xml:space="preserve">DAVI DOS SANTOS DA SILVA                       </t>
  </si>
  <si>
    <t xml:space="preserve">MIGUEL DOS SANTOS DA SILVA                  </t>
  </si>
  <si>
    <t>97225-4497</t>
  </si>
  <si>
    <t>96666-4415</t>
  </si>
  <si>
    <t>Estrada João Melo, 485 –bl 3/302 –Campo Grande – CEP: 23.092.080</t>
  </si>
  <si>
    <t>Estrada João Melo, 485 –bl 3/302 –Campo Grande – CEP: 23.092.081</t>
  </si>
  <si>
    <t>Estrada João Melo, 485 –bl 3/302 –Campo Grande – CEP: 23.092.082</t>
  </si>
  <si>
    <t>Estrada João Melo, 485 –bl 3/302 –Campo Grande – CEP: 23.092.083</t>
  </si>
  <si>
    <t>Estrada João Melo, 485 –bl 3/302 –Campo Grande – CEP: 23.092.084</t>
  </si>
  <si>
    <t>JENIFFER DE OLIVEIRA MORAES COELHO</t>
  </si>
  <si>
    <t>NELIA PAULA DE OLIVEIRA MORAES COELHO</t>
  </si>
  <si>
    <t>96503-9924 - 97915-2169</t>
  </si>
  <si>
    <t>98240-6047</t>
  </si>
  <si>
    <t>Rua do Alagoano, 140 – Mendanha – C. Grde CEP:23.097-060</t>
  </si>
  <si>
    <t>Rua do Alagoano, 140 – Mendanha – C. Grde CEP:23.097-061</t>
  </si>
  <si>
    <t>JOSÉ ANTONIO BATISTA</t>
  </si>
  <si>
    <t>ELIANA RODRIGUES DA SILVA BATISTA</t>
  </si>
  <si>
    <t>98073-8356</t>
  </si>
  <si>
    <t>Estrada de Colégio, 144, bl 01, apt 510 – Colégio – CEP: 21.235.280</t>
  </si>
  <si>
    <t>Estrada de Colégio, 144, bl 01, apt 510 – Colégio – CEP: 21.235.281</t>
  </si>
  <si>
    <t>JOSÉ LUÍS DOS SANTOS COELHO</t>
  </si>
  <si>
    <t>SONIA MARIA MARTINS COELHO</t>
  </si>
  <si>
    <t>99269-2076</t>
  </si>
  <si>
    <t>99312-3493</t>
  </si>
  <si>
    <t>Estrada da Cachamorra, 1233 – Bloco 12/311-Campo Grande CEP: 23.040-150</t>
  </si>
  <si>
    <t>Estrada da Cachamorra, 1233 – Bloco 12/311-Campo Grande CEP: 23.040-151</t>
  </si>
  <si>
    <t>outro</t>
  </si>
  <si>
    <t>JOSÉ RICARDO PINTO DO ESPÍRITO STO</t>
  </si>
  <si>
    <t>Rua Raul Menezes, lote 20 – Jardim São Paulo – Campo.Grande</t>
  </si>
  <si>
    <t>KESIA  MICHELE DA SILVA</t>
  </si>
  <si>
    <t>99054-1991</t>
  </si>
  <si>
    <t>Estrada João Melo, 442 – bl 03 , apto. 103 – Campo Grande -Cond. Vera Cruz</t>
  </si>
  <si>
    <t>LEANDRO FELISBERTO P. DE ARAUJO</t>
  </si>
  <si>
    <t>ALINE BIANCA F. MORAES DE ARAUJO</t>
  </si>
  <si>
    <t xml:space="preserve">LEANDRA MORAES DE AZEVEDO         </t>
  </si>
  <si>
    <t xml:space="preserve">BENJAMIN MORAES DE ARAUJO           </t>
  </si>
  <si>
    <t>96647-9976</t>
  </si>
  <si>
    <t>97541-6819</t>
  </si>
  <si>
    <t>Rua Quarenta e um, lote 14 – qdra 36.A – Campo Grande</t>
  </si>
  <si>
    <t>LILIAN CRISTINA DAS CHAGAS LACURTE</t>
  </si>
  <si>
    <t>LIDIANE CRISTINA DAS C. LACURTE</t>
  </si>
  <si>
    <t xml:space="preserve">MATEUS DAS CHAGAS LACURTE </t>
  </si>
  <si>
    <t>SEPARADA</t>
  </si>
  <si>
    <t>98569-6705</t>
  </si>
  <si>
    <t>Rua Byron, 64 – Campo Grande</t>
  </si>
  <si>
    <t xml:space="preserve">ALEXANDER GOMES DA SILVA </t>
  </si>
  <si>
    <t>LUANA PEREIRA DE OLIVEIRA</t>
  </si>
  <si>
    <t xml:space="preserve">GABRIEL PEREIRA DA SILVA                </t>
  </si>
  <si>
    <t xml:space="preserve">GUSTAVO PEREIRA DA SILVA              </t>
  </si>
  <si>
    <t>97426-2112</t>
  </si>
  <si>
    <t>97919-5875</t>
  </si>
  <si>
    <t>Est. do Mendanha, 4240  - Rua B Qd 4 – Lt 20 – C. Grde</t>
  </si>
  <si>
    <t>MAURÍCIO WENCESLAU ALMEIDA</t>
  </si>
  <si>
    <t>98073-2190</t>
  </si>
  <si>
    <t>Rua Prof. Luís Sodré, 22 – C. Grde</t>
  </si>
  <si>
    <t>MARCIO CAMARGO ALVES</t>
  </si>
  <si>
    <t>FLAVIA ANDRADE DA ROCHA ALVES</t>
  </si>
  <si>
    <t xml:space="preserve">ESTER ANDRADE DA R. C. ALVES   </t>
  </si>
  <si>
    <t xml:space="preserve">SAMUEL ANDRADE DA R. ALVES    </t>
  </si>
  <si>
    <t xml:space="preserve">PEDRO ABNER ANDRADE DA R. ALVES </t>
  </si>
  <si>
    <t>97123-8488  2486-6181</t>
  </si>
  <si>
    <t>99169-4202</t>
  </si>
  <si>
    <t>Rua Viçosa do Ceará, 56 - Paciência</t>
  </si>
  <si>
    <t>MICHELE DA CONCEIÇÃO COSTA</t>
  </si>
  <si>
    <t>DIVORCIADA</t>
  </si>
  <si>
    <t>96596-3832</t>
  </si>
  <si>
    <t>Rua Joanilson Melo, 240, casa 2 – Paciência - Manguariba</t>
  </si>
  <si>
    <t>RAFAEL FERREIRA AZEVEDO DE ALMEIDA</t>
  </si>
  <si>
    <t>JANAÍNA PATRICIA BARBOSA DOS R. DE ALMEIDA</t>
  </si>
  <si>
    <t xml:space="preserve">JONATHA REIS DE ALMEIDA               </t>
  </si>
  <si>
    <t>98810-6261</t>
  </si>
  <si>
    <t>98634-9311</t>
  </si>
  <si>
    <t>Estrada dos Bandeirantes, 6463 - Jacarepaguá</t>
  </si>
  <si>
    <t>RAFAEL MUNIZ DE OLIVEIRA</t>
  </si>
  <si>
    <t>CAMILA PAULA BRAGA G. DE OLIVEIRA</t>
  </si>
  <si>
    <t xml:space="preserve">DAVI BRAGA DE OLIVEIRA                    </t>
  </si>
  <si>
    <t xml:space="preserve">NATAN BRAGA DE OLIVEIRA                  </t>
  </si>
  <si>
    <t>98605-9085</t>
  </si>
  <si>
    <t>97934-8834</t>
  </si>
  <si>
    <t>Rua Soldado Francisco Savastana, 260 – Frente- Campo Grande</t>
  </si>
  <si>
    <t>RAPHAEL VASCONCELOS VIEIRA</t>
  </si>
  <si>
    <t>SILVANA VICTOR DO N. VIEIRA</t>
  </si>
  <si>
    <t>98201-1163</t>
  </si>
  <si>
    <t>97940-7445</t>
  </si>
  <si>
    <t>Av. Brasil, 44.878 – bl. E – apto. 202 – C. Grde</t>
  </si>
  <si>
    <t xml:space="preserve">LETÍCIA </t>
  </si>
  <si>
    <t>JOÃO</t>
  </si>
  <si>
    <t>REINALDO DOS SANTOS PACHECO</t>
  </si>
  <si>
    <t>MONIQUE FERREIRA DA S. PACHECO</t>
  </si>
  <si>
    <t>SAMUEL FERREIRA PACHECO</t>
  </si>
  <si>
    <t>EVANDRO CASTRO ABREU</t>
  </si>
  <si>
    <t>MAYRA COSTA ABREU</t>
  </si>
  <si>
    <t>YGOR COSTA ABREU</t>
  </si>
  <si>
    <t>GUILHERME COSTA ABREU</t>
  </si>
  <si>
    <t>ESTRADA DO MENDANHA, 2696</t>
  </si>
  <si>
    <t>ESTRADA DO MENDANHA, 2697</t>
  </si>
  <si>
    <t>ESTRADA DO MENDANHA, 2698</t>
  </si>
  <si>
    <t>ESTRADA DO MENDANHA, 2699</t>
  </si>
  <si>
    <t>98767-0132</t>
  </si>
  <si>
    <t>98465-6938</t>
  </si>
  <si>
    <t>96464-7493</t>
  </si>
  <si>
    <t>98507-3668</t>
  </si>
  <si>
    <t>Est. do Mendanha, 2046 – casa 46 – C. Grde</t>
  </si>
  <si>
    <t>RODRIGO MOREIRA RODRIGUES</t>
  </si>
  <si>
    <t>MAIRA ELANA F. MORAES RODRIGUES</t>
  </si>
  <si>
    <t xml:space="preserve">OTTO BUARQUE M. RODRIGUES    </t>
  </si>
  <si>
    <t>JOAQUIM BUARQUE M. RODRIGUES</t>
  </si>
  <si>
    <t>98861-0977</t>
  </si>
  <si>
    <t>96427-2991</t>
  </si>
  <si>
    <t>RONALDO LIRA COSTA</t>
  </si>
  <si>
    <t>SONIA DO ESP. SANTO COSTA</t>
  </si>
  <si>
    <t>97674-7342</t>
  </si>
  <si>
    <t>99463-7300</t>
  </si>
  <si>
    <t>Est. Do Mendanha, 2793 – Condominio Vale das Palmeiras – Campo Grande</t>
  </si>
  <si>
    <t>SUSANA CAVALHEIRO DOS SANTOS</t>
  </si>
  <si>
    <t xml:space="preserve">KAUÃ FÁBIO C. DOS SANTOS                </t>
  </si>
  <si>
    <t>98765-9330</t>
  </si>
  <si>
    <t>Rua Severino da Silva, 85 – Campo Grande</t>
  </si>
  <si>
    <t>SIMONI MENDES MARTINS</t>
  </si>
  <si>
    <t xml:space="preserve">LETICIA MENDES CUBAS </t>
  </si>
  <si>
    <t xml:space="preserve">BENICIO RAVI MENDES VAZ </t>
  </si>
  <si>
    <t>96468-7023</t>
  </si>
  <si>
    <t>Rua Averróis Celular, 92 – casa 102- C. Grde.</t>
  </si>
  <si>
    <t>TIAGO DOS SANTOS BENEVIDES</t>
  </si>
  <si>
    <t>MAIARA ELANA F. MORAES</t>
  </si>
  <si>
    <t xml:space="preserve">MARIA LUIZA MORAES BENEVIDES     </t>
  </si>
  <si>
    <t xml:space="preserve">MELISSA MORAES BENEVIDES      </t>
  </si>
  <si>
    <t>99206-9505</t>
  </si>
  <si>
    <t>99346-8466</t>
  </si>
  <si>
    <t>VANIA CRISTINA CONCEIÇÃO</t>
  </si>
  <si>
    <t>99233-3117</t>
  </si>
  <si>
    <t>Estrada do Tingui, 1033 - bl 4 apto. 106 – Campo Grande</t>
  </si>
  <si>
    <t>LUCAS ALVES FONTELLA DE LACERDA</t>
  </si>
  <si>
    <t>VICTORIA ALVES SANTOS BARBOSA DE LACERDA</t>
  </si>
  <si>
    <t>98573-1570</t>
  </si>
  <si>
    <t>97724-5982</t>
  </si>
  <si>
    <t>Est. do Tinguí, 2466 - Condomínio Recanto do Tinguí Bl 1/304 - Campo Grande</t>
  </si>
  <si>
    <t>MENOR DE 18</t>
  </si>
  <si>
    <t>MÊS</t>
  </si>
  <si>
    <t>ANO</t>
  </si>
  <si>
    <t>DIA</t>
  </si>
  <si>
    <t>Nome do Membro</t>
  </si>
  <si>
    <t>Endereço</t>
  </si>
  <si>
    <t>Telefone</t>
  </si>
  <si>
    <t>Data de Nascimento</t>
  </si>
  <si>
    <t>EVERSON MARNON DO STO. MAIA (17/09/1991)</t>
  </si>
  <si>
    <t>Masculino</t>
  </si>
  <si>
    <t>Feminino</t>
  </si>
  <si>
    <t>Sexo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</si>
</sst>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d/m"/>
  </numFmts>
  <fonts count="3">
    <font>
      <sz val="11"/>
      <color theme="1"/>
      <name val="Aptos Narrow"/>
      <family val="2"/>
      <scheme val="minor"/>
    </font>
    <font>
      <sz val="11"/>
      <color theme="1"/>
      <name val="Calibri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 applyAlignment="1">
      <alignment horizontal="left" vertical="top"/>
    </xf>
    <xf numFmtId="14" fontId="1" fillId="0" borderId="0" xfId="0" applyNumberFormat="1" applyFont="1" applyAlignment="1">
      <alignment horizontal="left" vertical="top"/>
    </xf>
    <xf numFmtId="0" fontId="0" fillId="0" borderId="0" xfId="0" applyAlignment="1">
      <alignment horizontal="center"/>
    </xf>
    <xf numFmtId="164" fontId="1" fillId="0" borderId="0" xfId="0" applyNumberFormat="1" applyFont="1" applyAlignment="1">
      <alignment horizontal="left" vertical="top"/>
    </xf>
  </cellXfs>
  <cellStyles count="1">
    <cellStyle name="Normal" xfId="0" builtinId="0"/>
  </cellStyles>
  <dxfs count="1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9" formatCode="dd/mm/yyyy"/>
      <alignment horizontal="left" vertical="top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alignment horizontal="left" vertical="top" textRotation="0" wrapText="0" indent="0" justifyLastLine="0" shrinkToFit="0" readingOrder="0"/>
    </dxf>
    <dxf>
      <font>
        <sz val="11"/>
        <color theme="0"/>
        <name val="Montserrat"/>
        <scheme val="none"/>
      </font>
      <fill>
        <patternFill patternType="solid">
          <fgColor rgb="FF631221"/>
          <bgColor theme="0" tint="-0.499984740745262"/>
        </patternFill>
      </fill>
    </dxf>
    <dxf>
      <font>
        <color theme="0"/>
        <name val="Montserrat"/>
        <scheme val="none"/>
      </font>
      <fill>
        <patternFill>
          <bgColor rgb="FF002258"/>
        </patternFill>
      </fill>
    </dxf>
  </dxfs>
  <tableStyles count="2" defaultTableStyle="TableStyleMedium2" defaultPivotStyle="PivotStyleLight16">
    <tableStyle name="ColunaEsquerda" pivot="0" table="0" count="3" xr9:uid="{87236095-E44A-48F9-835A-DB7175D649F4}">
      <tableStyleElement type="wholeTable" dxfId="14"/>
    </tableStyle>
    <tableStyle name="Dashboard" pivot="0" table="0" count="3" xr9:uid="{54EC5318-682F-473E-AFCE-065EB5CA1DE4}">
      <tableStyleElement type="wholeTable" dxfId="13"/>
    </tableStyle>
  </tableStyles>
  <colors>
    <mruColors>
      <color rgb="FF034992"/>
      <color rgb="FF631221"/>
      <color rgb="FFA20000"/>
      <color rgb="FFFFFFFF"/>
      <color rgb="FF002258"/>
    </mruColors>
  </colors>
  <extLst>
    <ext xmlns:x14="http://schemas.microsoft.com/office/spreadsheetml/2009/9/main" uri="{46F421CA-312F-682f-3DD2-61675219B42D}">
      <x14:dxfs count="4">
        <dxf>
          <font>
            <sz val="11"/>
            <color theme="0"/>
            <name val="Montserrat"/>
            <scheme val="none"/>
          </font>
          <fill>
            <patternFill>
              <bgColor theme="0"/>
            </patternFill>
          </fill>
        </dxf>
        <dxf>
          <font>
            <sz val="11"/>
            <color rgb="FF631221"/>
            <name val="Montserrat"/>
            <scheme val="none"/>
          </font>
          <fill>
            <patternFill>
              <fgColor theme="0"/>
              <bgColor rgb="FFFFFFFF"/>
            </patternFill>
          </fill>
        </dxf>
        <dxf>
          <font>
            <color rgb="FF002258"/>
            <name val="Montserrat"/>
            <scheme val="none"/>
          </font>
          <fill>
            <patternFill>
              <fgColor theme="0"/>
            </patternFill>
          </fill>
        </dxf>
        <dxf>
          <font>
            <color theme="0"/>
            <name val="Montserrat"/>
            <scheme val="none"/>
          </font>
          <fill>
            <patternFill>
              <fgColor rgb="FF002258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ColunaEsquerda">
          <x14:slicerStyleElements>
            <x14:slicerStyleElement type="selectedItemWithData" dxfId="3"/>
            <x14:slicerStyleElement type="hoveredSelectedItemWithData" dxfId="2"/>
          </x14:slicerStyleElements>
        </x14:slicerStyle>
        <x14:slicerStyle name="Dashboard">
          <x14:slicerStyleElements>
            <x14:slicerStyleElement type="selectedItemWithData" dxfId="1"/>
            <x14:slicerStyleElement type="hovered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EVANDROABREU\Desktop\PROJETO%20DUNAMIS\Nova%20pasta\02-03%20-%20Dashboard%20Comercial%20Excel%202022.xlsx" TargetMode="External"/><Relationship Id="rId1" Type="http://schemas.openxmlformats.org/officeDocument/2006/relationships/externalLinkPath" Target="/Users/EVANDROABREU/Desktop/PROJETO%20DUNAMIS/Nova%20pasta/02-03%20-%20Dashboard%20Comercial%20Excel%20202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se"/>
      <sheetName val="Vendedor"/>
      <sheetName val="Análise"/>
      <sheetName val="Dashboard"/>
      <sheetName val="Prática"/>
    </sheetNames>
    <sheetDataSet>
      <sheetData sheetId="0"/>
      <sheetData sheetId="1">
        <row r="2">
          <cell r="A2" t="str">
            <v>Alon Pinheiro</v>
          </cell>
          <cell r="B2"/>
        </row>
        <row r="3">
          <cell r="A3" t="str">
            <v>Gabriel Cajado</v>
          </cell>
          <cell r="B3"/>
        </row>
        <row r="4">
          <cell r="A4" t="str">
            <v>Diego Amorim</v>
          </cell>
          <cell r="B4"/>
        </row>
        <row r="5">
          <cell r="A5" t="str">
            <v>João Martins</v>
          </cell>
          <cell r="B5"/>
        </row>
        <row r="6">
          <cell r="A6" t="str">
            <v>Paulo Lira</v>
          </cell>
          <cell r="B6"/>
        </row>
        <row r="7">
          <cell r="A7" t="str">
            <v>Marcus Cavalcanti</v>
          </cell>
          <cell r="B7"/>
        </row>
      </sheetData>
      <sheetData sheetId="2">
        <row r="3">
          <cell r="D3" t="str">
            <v>Alon Pinheiro</v>
          </cell>
        </row>
      </sheetData>
      <sheetData sheetId="3"/>
      <sheetData sheetId="4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3EE11DE-EE9B-4323-8999-B2C06043624A}" name="Tabela1" displayName="Tabela1" ref="A3:N111" totalsRowShown="0" dataDxfId="12">
  <autoFilter ref="A3:N111" xr:uid="{53EE11DE-EE9B-4323-8999-B2C06043624A}"/>
  <tableColumns count="14">
    <tableColumn id="1" xr3:uid="{5E759C30-EE5F-4251-AFF3-BE88B0741FF3}" name="Nome do Membro" dataDxfId="11"/>
    <tableColumn id="2" xr3:uid="{32636E90-3A04-4885-BFBC-24207443713E}" name="Estado Civil" dataDxfId="10"/>
    <tableColumn id="3" xr3:uid="{23776E27-BFE6-4D5C-9118-BEAE54444CC1}" name="Idade" dataDxfId="9">
      <calculatedColumnFormula>INT((TODAY()-D4)/365.25)</calculatedColumnFormula>
    </tableColumn>
    <tableColumn id="4" xr3:uid="{F6BFC924-24AF-486F-8CF0-3D7CCF33FC74}" name="Data de Nascimento" dataDxfId="8"/>
    <tableColumn id="5" xr3:uid="{3815A72E-810B-4CE3-9759-7CA3E9CD93C4}" name="Telefone" dataDxfId="7"/>
    <tableColumn id="6" xr3:uid="{6142BEA8-B91D-4871-B95F-EE9B99C41A6B}" name="Endereço" dataDxfId="6"/>
    <tableColumn id="7" xr3:uid="{AD1E85A5-A6EB-4892-A2EC-B585F513C4B9}" name="Discipulado" dataDxfId="5"/>
    <tableColumn id="8" xr3:uid="{7D791861-F77B-4EBE-894D-8AD3444C4A43}" name="Histórico de presença"/>
    <tableColumn id="9" xr3:uid="{0F754596-EA03-4071-AA68-1DFAD477B00E}" name="Nome da Família"/>
    <tableColumn id="10" xr3:uid="{0004016C-1D33-4FCA-BE2A-44C2FA871347}" name="MENOR DE 18" dataDxfId="4">
      <calculatedColumnFormula>IF(Tabela1[[#This Row],[Idade]]&lt;18, Tabela1[[#This Row],[Nome do Membro]], "")</calculatedColumnFormula>
    </tableColumn>
    <tableColumn id="11" xr3:uid="{6F84878E-9F91-4C7C-B79E-093DD1B38493}" name="DIA" dataDxfId="3">
      <calculatedColumnFormula>DAY(D4)</calculatedColumnFormula>
    </tableColumn>
    <tableColumn id="12" xr3:uid="{2833B20D-8878-424D-871A-082695B46514}" name="MÊS" dataDxfId="2">
      <calculatedColumnFormula>TEXT(Tabela1[[#This Row],[Data de Nascimento]],"MMM")</calculatedColumnFormula>
    </tableColumn>
    <tableColumn id="13" xr3:uid="{68C27661-57B1-4F95-A592-00F53B699181}" name="ANO" dataDxfId="1">
      <calculatedColumnFormula>YEAR(Tabela1[[#This Row],[Data de Nascimento]])</calculatedColumnFormula>
    </tableColumn>
    <tableColumn id="14" xr3:uid="{45CC7686-9A72-491A-9EF8-B30887877821}" name="Sexo" dataDxfId="0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6EC5D-F991-4185-8026-26B7930938BE}">
  <sheetPr codeName="Planilha2"/>
  <dimension ref="A3:N111"/>
  <sheetViews>
    <sheetView tabSelected="1" zoomScale="70" zoomScaleNormal="70" workbookViewId="0">
      <selection activeCell="N4" sqref="N4"/>
    </sheetView>
  </sheetViews>
  <sheetFormatPr defaultRowHeight="15"/>
  <cols>
    <col min="1" max="1" width="52.7109375" customWidth="1"/>
    <col min="2" max="2" width="12.7109375" customWidth="1"/>
    <col min="3" max="3" width="12.28515625" style="3" customWidth="1"/>
    <col min="4" max="4" width="18.7109375" customWidth="1"/>
    <col min="5" max="5" width="12.28515625" customWidth="1"/>
    <col min="6" max="6" width="71.140625" customWidth="1"/>
    <col min="7" max="7" width="16.42578125" customWidth="1"/>
    <col min="8" max="8" width="24" customWidth="1"/>
    <col min="9" max="9" width="18.42578125" customWidth="1"/>
    <col min="10" max="10" width="41.28515625" customWidth="1"/>
    <col min="11" max="11" width="26.42578125" customWidth="1"/>
    <col min="12" max="12" width="11.140625" customWidth="1"/>
    <col min="13" max="13" width="6.42578125" customWidth="1"/>
    <col min="14" max="15" width="18.140625" customWidth="1"/>
  </cols>
  <sheetData>
    <row r="3" spans="1:14">
      <c r="A3" t="s">
        <v>233</v>
      </c>
      <c r="B3" t="s">
        <v>0</v>
      </c>
      <c r="C3" s="3" t="s">
        <v>1</v>
      </c>
      <c r="D3" t="s">
        <v>236</v>
      </c>
      <c r="E3" t="s">
        <v>235</v>
      </c>
      <c r="F3" t="s">
        <v>234</v>
      </c>
      <c r="G3" t="s">
        <v>2</v>
      </c>
      <c r="H3" t="s">
        <v>3</v>
      </c>
      <c r="I3" t="s">
        <v>4</v>
      </c>
      <c r="J3" t="s">
        <v>229</v>
      </c>
      <c r="K3" t="s">
        <v>232</v>
      </c>
      <c r="L3" t="s">
        <v>230</v>
      </c>
      <c r="M3" t="s">
        <v>231</v>
      </c>
      <c r="N3" t="s">
        <v>240</v>
      </c>
    </row>
    <row r="4" spans="1:14">
      <c r="A4" s="1" t="s">
        <v>237</v>
      </c>
      <c r="B4" s="1" t="s">
        <v>8</v>
      </c>
      <c r="C4" s="3">
        <f ca="1">INT((TODAY()-D4)/365.25)</f>
        <v>33</v>
      </c>
      <c r="D4" s="2">
        <v>33498</v>
      </c>
      <c r="E4" s="1" t="s">
        <v>12</v>
      </c>
      <c r="F4" s="1" t="s">
        <v>14</v>
      </c>
      <c r="G4" s="1" t="s">
        <v>15</v>
      </c>
      <c r="I4" t="str">
        <f>Tabela1[[#This Row],[Nome do Membro]]</f>
        <v>EVERSON MARNON DO STO. MAIA (17/09/1991)</v>
      </c>
      <c r="J4" s="1" t="str">
        <f ca="1">IF(Tabela1[[#This Row],[Idade]]&lt;18, Tabela1[[#This Row],[Nome do Membro]], "")</f>
        <v/>
      </c>
      <c r="K4" s="1">
        <f t="shared" ref="K4:K64" si="0">DAY(D4)</f>
        <v>17</v>
      </c>
      <c r="L4" s="1" t="str">
        <f>TEXT(Tabela1[[#This Row],[Data de Nascimento]],"MMM")</f>
        <v>set</v>
      </c>
      <c r="M4" s="1">
        <f>YEAR(Tabela1[[#This Row],[Data de Nascimento]])</f>
        <v>1991</v>
      </c>
      <c r="N4" t="s">
        <v>238</v>
      </c>
    </row>
    <row r="5" spans="1:14">
      <c r="A5" s="1" t="s">
        <v>5</v>
      </c>
      <c r="B5" s="1" t="s">
        <v>9</v>
      </c>
      <c r="C5" s="3">
        <f t="shared" ref="C5:C65" ca="1" si="1">INT((TODAY()-D5)/365.25)</f>
        <v>38</v>
      </c>
      <c r="D5" s="2">
        <v>31708</v>
      </c>
      <c r="E5" s="1" t="s">
        <v>13</v>
      </c>
      <c r="F5" s="1" t="s">
        <v>14</v>
      </c>
      <c r="G5" s="1" t="s">
        <v>15</v>
      </c>
      <c r="I5" t="str">
        <f>A4</f>
        <v>EVERSON MARNON DO STO. MAIA (17/09/1991)</v>
      </c>
      <c r="J5" s="1" t="str">
        <f ca="1">IF(Tabela1[[#This Row],[Idade]]&lt;18, Tabela1[[#This Row],[Nome do Membro]], "")</f>
        <v/>
      </c>
      <c r="K5" s="1">
        <f t="shared" si="0"/>
        <v>23</v>
      </c>
      <c r="L5" s="1" t="str">
        <f>TEXT(Tabela1[[#This Row],[Data de Nascimento]],"MMM")</f>
        <v>out</v>
      </c>
      <c r="M5" s="1">
        <f>YEAR(Tabela1[[#This Row],[Data de Nascimento]])</f>
        <v>1986</v>
      </c>
      <c r="N5" s="1" t="s">
        <v>239</v>
      </c>
    </row>
    <row r="6" spans="1:14">
      <c r="A6" s="1" t="s">
        <v>6</v>
      </c>
      <c r="B6" s="1" t="s">
        <v>10</v>
      </c>
      <c r="C6" s="3">
        <f t="shared" ca="1" si="1"/>
        <v>6</v>
      </c>
      <c r="D6" s="2">
        <v>43499</v>
      </c>
      <c r="E6" s="1"/>
      <c r="F6" s="1" t="s">
        <v>14</v>
      </c>
      <c r="G6" s="1" t="s">
        <v>15</v>
      </c>
      <c r="I6" t="str">
        <f>A4</f>
        <v>EVERSON MARNON DO STO. MAIA (17/09/1991)</v>
      </c>
      <c r="J6" s="1" t="str">
        <f ca="1">IF(Tabela1[[#This Row],[Idade]]&lt;18, Tabela1[[#This Row],[Nome do Membro]], "")</f>
        <v xml:space="preserve">VALENTINA (filha de Everson e Jaqueline)  </v>
      </c>
      <c r="K6" s="1">
        <f t="shared" si="0"/>
        <v>3</v>
      </c>
      <c r="L6" s="1" t="str">
        <f>TEXT(Tabela1[[#This Row],[Data de Nascimento]],"MMM")</f>
        <v>fev</v>
      </c>
      <c r="M6" s="1">
        <f>YEAR(Tabela1[[#This Row],[Data de Nascimento]])</f>
        <v>2019</v>
      </c>
      <c r="N6" s="1" t="s">
        <v>239</v>
      </c>
    </row>
    <row r="7" spans="1:14">
      <c r="A7" s="1" t="s">
        <v>7</v>
      </c>
      <c r="B7" s="1" t="s">
        <v>11</v>
      </c>
      <c r="C7" s="3">
        <f t="shared" ca="1" si="1"/>
        <v>2</v>
      </c>
      <c r="D7" s="2">
        <v>44946</v>
      </c>
      <c r="E7" s="1"/>
      <c r="F7" s="1" t="s">
        <v>14</v>
      </c>
      <c r="G7" s="1" t="s">
        <v>15</v>
      </c>
      <c r="I7" t="str">
        <f>A4</f>
        <v>EVERSON MARNON DO STO. MAIA (17/09/1991)</v>
      </c>
      <c r="J7" s="1" t="str">
        <f ca="1">IF(Tabela1[[#This Row],[Idade]]&lt;18, Tabela1[[#This Row],[Nome do Membro]], "")</f>
        <v xml:space="preserve">THÉO DO ESPÍRITO SANTO MAIA      </v>
      </c>
      <c r="K7" s="1">
        <f t="shared" si="0"/>
        <v>20</v>
      </c>
      <c r="L7" s="1" t="str">
        <f>TEXT(Tabela1[[#This Row],[Data de Nascimento]],"MMM")</f>
        <v>jan</v>
      </c>
      <c r="M7" s="1">
        <f>YEAR(Tabela1[[#This Row],[Data de Nascimento]])</f>
        <v>2023</v>
      </c>
      <c r="N7" t="s">
        <v>238</v>
      </c>
    </row>
    <row r="8" spans="1:14">
      <c r="A8" s="1" t="s">
        <v>16</v>
      </c>
      <c r="B8" s="1" t="s">
        <v>8</v>
      </c>
      <c r="C8" s="3">
        <f t="shared" ca="1" si="1"/>
        <v>40</v>
      </c>
      <c r="D8" s="2">
        <v>30802</v>
      </c>
      <c r="E8" s="1" t="s">
        <v>20</v>
      </c>
      <c r="F8" s="1" t="s">
        <v>22</v>
      </c>
      <c r="G8" s="1" t="s">
        <v>15</v>
      </c>
      <c r="I8" t="str">
        <f>Tabela1[[#This Row],[Nome do Membro]]</f>
        <v>Alan Carlo Rocha Neves</v>
      </c>
      <c r="J8" s="1" t="str">
        <f ca="1">IF(Tabela1[[#This Row],[Idade]]&lt;18, Tabela1[[#This Row],[Nome do Membro]], "")</f>
        <v/>
      </c>
      <c r="K8" s="1">
        <f t="shared" si="0"/>
        <v>30</v>
      </c>
      <c r="L8" s="1" t="str">
        <f>TEXT(Tabela1[[#This Row],[Data de Nascimento]],"MMM")</f>
        <v>abr</v>
      </c>
      <c r="M8" s="1">
        <f>YEAR(Tabela1[[#This Row],[Data de Nascimento]])</f>
        <v>1984</v>
      </c>
      <c r="N8" s="1">
        <v>1</v>
      </c>
    </row>
    <row r="9" spans="1:14">
      <c r="A9" s="1" t="s">
        <v>17</v>
      </c>
      <c r="B9" s="1" t="s">
        <v>9</v>
      </c>
      <c r="C9" s="3">
        <f t="shared" ca="1" si="1"/>
        <v>33</v>
      </c>
      <c r="D9" s="2">
        <v>33649</v>
      </c>
      <c r="E9" s="1" t="s">
        <v>21</v>
      </c>
      <c r="F9" s="1" t="s">
        <v>22</v>
      </c>
      <c r="G9" s="1" t="s">
        <v>15</v>
      </c>
      <c r="I9" t="str">
        <f>A8</f>
        <v>Alan Carlo Rocha Neves</v>
      </c>
      <c r="J9" s="1" t="str">
        <f ca="1">IF(Tabela1[[#This Row],[Idade]]&lt;18, Tabela1[[#This Row],[Nome do Membro]], "")</f>
        <v/>
      </c>
      <c r="K9" s="1">
        <f t="shared" si="0"/>
        <v>15</v>
      </c>
      <c r="L9" s="1" t="str">
        <f>TEXT(Tabela1[[#This Row],[Data de Nascimento]],"MMM")</f>
        <v>fev</v>
      </c>
      <c r="M9" s="1">
        <f>YEAR(Tabela1[[#This Row],[Data de Nascimento]])</f>
        <v>1992</v>
      </c>
      <c r="N9" s="1">
        <v>1</v>
      </c>
    </row>
    <row r="10" spans="1:14">
      <c r="A10" s="1" t="s">
        <v>18</v>
      </c>
      <c r="B10" s="1" t="s">
        <v>19</v>
      </c>
      <c r="C10" s="3">
        <f t="shared" ca="1" si="1"/>
        <v>10</v>
      </c>
      <c r="D10" s="2">
        <v>41965</v>
      </c>
      <c r="F10" s="1" t="s">
        <v>22</v>
      </c>
      <c r="G10" s="1" t="s">
        <v>15</v>
      </c>
      <c r="I10" t="str">
        <f>A8</f>
        <v>Alan Carlo Rocha Neves</v>
      </c>
      <c r="J10" s="1" t="str">
        <f ca="1">IF(Tabela1[[#This Row],[Idade]]&lt;18, Tabela1[[#This Row],[Nome do Membro]], "")</f>
        <v xml:space="preserve">ALICE CARLA DE MELO NEVES </v>
      </c>
      <c r="K10" s="1">
        <f t="shared" si="0"/>
        <v>22</v>
      </c>
      <c r="L10" s="1" t="str">
        <f>TEXT(Tabela1[[#This Row],[Data de Nascimento]],"MMM")</f>
        <v>nov</v>
      </c>
      <c r="M10" s="1">
        <f>YEAR(Tabela1[[#This Row],[Data de Nascimento]])</f>
        <v>2014</v>
      </c>
      <c r="N10" s="1">
        <v>1</v>
      </c>
    </row>
    <row r="11" spans="1:14">
      <c r="A11" s="1" t="s">
        <v>23</v>
      </c>
      <c r="B11" s="1" t="s">
        <v>9</v>
      </c>
      <c r="C11" s="3">
        <f t="shared" ca="1" si="1"/>
        <v>47</v>
      </c>
      <c r="D11" s="2">
        <v>28531</v>
      </c>
      <c r="E11" s="1" t="s">
        <v>26</v>
      </c>
      <c r="F11" s="1" t="s">
        <v>27</v>
      </c>
      <c r="G11" s="1" t="s">
        <v>15</v>
      </c>
      <c r="I11" t="str">
        <f>Tabela1[[#This Row],[Nome do Membro]]</f>
        <v>ALINE CRISTINA DA SILVA DE PAULA RODRIGUES</v>
      </c>
      <c r="J11" s="1" t="str">
        <f ca="1">IF(Tabela1[[#This Row],[Idade]]&lt;18, Tabela1[[#This Row],[Nome do Membro]], "")</f>
        <v/>
      </c>
      <c r="K11" s="1">
        <f t="shared" si="0"/>
        <v>10</v>
      </c>
      <c r="L11" s="1" t="str">
        <f>TEXT(Tabela1[[#This Row],[Data de Nascimento]],"MMM")</f>
        <v>fev</v>
      </c>
      <c r="M11" s="1">
        <f>YEAR(Tabela1[[#This Row],[Data de Nascimento]])</f>
        <v>1978</v>
      </c>
      <c r="N11" s="1">
        <v>1</v>
      </c>
    </row>
    <row r="12" spans="1:14">
      <c r="A12" s="1" t="s">
        <v>24</v>
      </c>
      <c r="B12" s="1" t="s">
        <v>10</v>
      </c>
      <c r="C12" s="3">
        <f t="shared" ca="1" si="1"/>
        <v>18</v>
      </c>
      <c r="D12" s="2">
        <v>39022</v>
      </c>
      <c r="F12" s="1" t="s">
        <v>27</v>
      </c>
      <c r="G12" s="1" t="s">
        <v>15</v>
      </c>
      <c r="I12" t="str">
        <f>A11</f>
        <v>ALINE CRISTINA DA SILVA DE PAULA RODRIGUES</v>
      </c>
      <c r="J12" s="1" t="str">
        <f ca="1">IF(Tabela1[[#This Row],[Idade]]&lt;18, Tabela1[[#This Row],[Nome do Membro]], "")</f>
        <v/>
      </c>
      <c r="K12" s="1">
        <f t="shared" si="0"/>
        <v>1</v>
      </c>
      <c r="L12" s="1" t="str">
        <f>TEXT(Tabela1[[#This Row],[Data de Nascimento]],"MMM")</f>
        <v>nov</v>
      </c>
      <c r="M12" s="1">
        <f>YEAR(Tabela1[[#This Row],[Data de Nascimento]])</f>
        <v>2006</v>
      </c>
      <c r="N12" s="1">
        <v>1</v>
      </c>
    </row>
    <row r="13" spans="1:14">
      <c r="A13" s="1" t="s">
        <v>25</v>
      </c>
      <c r="B13" s="1" t="s">
        <v>10</v>
      </c>
      <c r="C13" s="3">
        <f t="shared" ca="1" si="1"/>
        <v>13</v>
      </c>
      <c r="D13" s="2">
        <v>40825</v>
      </c>
      <c r="F13" s="1" t="s">
        <v>27</v>
      </c>
      <c r="G13" s="1" t="s">
        <v>15</v>
      </c>
      <c r="I13" t="str">
        <f>A11</f>
        <v>ALINE CRISTINA DA SILVA DE PAULA RODRIGUES</v>
      </c>
      <c r="J13" s="1" t="str">
        <f ca="1">IF(Tabela1[[#This Row],[Idade]]&lt;18, Tabela1[[#This Row],[Nome do Membro]], "")</f>
        <v xml:space="preserve">LIVIA DA S. DE P. RODRIGUES </v>
      </c>
      <c r="K13" s="1">
        <f t="shared" si="0"/>
        <v>9</v>
      </c>
      <c r="L13" s="1" t="str">
        <f>TEXT(Tabela1[[#This Row],[Data de Nascimento]],"MMM")</f>
        <v>out</v>
      </c>
      <c r="M13" s="1">
        <f>YEAR(Tabela1[[#This Row],[Data de Nascimento]])</f>
        <v>2011</v>
      </c>
      <c r="N13" s="1">
        <v>1</v>
      </c>
    </row>
    <row r="14" spans="1:14">
      <c r="A14" s="1" t="s">
        <v>28</v>
      </c>
      <c r="B14" s="1" t="s">
        <v>30</v>
      </c>
      <c r="C14" s="3">
        <f t="shared" ca="1" si="1"/>
        <v>48</v>
      </c>
      <c r="D14" s="2">
        <v>28149</v>
      </c>
      <c r="E14" s="1" t="s">
        <v>31</v>
      </c>
      <c r="F14" s="1" t="s">
        <v>32</v>
      </c>
      <c r="G14" s="1" t="s">
        <v>15</v>
      </c>
      <c r="I14" t="str">
        <f>Tabela1[[#This Row],[Nome do Membro]]</f>
        <v>ANA CARLA MAGALHAES</v>
      </c>
      <c r="J14" s="1" t="str">
        <f ca="1">IF(Tabela1[[#This Row],[Idade]]&lt;18, Tabela1[[#This Row],[Nome do Membro]], "")</f>
        <v/>
      </c>
      <c r="K14" s="1">
        <f t="shared" si="0"/>
        <v>24</v>
      </c>
      <c r="L14" s="1" t="str">
        <f>TEXT(Tabela1[[#This Row],[Data de Nascimento]],"MMM")</f>
        <v>jan</v>
      </c>
      <c r="M14" s="1">
        <f>YEAR(Tabela1[[#This Row],[Data de Nascimento]])</f>
        <v>1977</v>
      </c>
      <c r="N14" s="1">
        <v>1</v>
      </c>
    </row>
    <row r="15" spans="1:14">
      <c r="A15" s="1" t="s">
        <v>29</v>
      </c>
      <c r="B15" s="1" t="s">
        <v>10</v>
      </c>
      <c r="C15" s="3">
        <f t="shared" ca="1" si="1"/>
        <v>19</v>
      </c>
      <c r="D15" s="2">
        <v>38483</v>
      </c>
      <c r="F15" s="1" t="s">
        <v>32</v>
      </c>
      <c r="G15" s="1" t="s">
        <v>15</v>
      </c>
      <c r="I15" t="str">
        <f>A14</f>
        <v>ANA CARLA MAGALHAES</v>
      </c>
      <c r="J15" s="1" t="str">
        <f ca="1">IF(Tabela1[[#This Row],[Idade]]&lt;18, Tabela1[[#This Row],[Nome do Membro]], "")</f>
        <v/>
      </c>
      <c r="K15" s="1">
        <f t="shared" si="0"/>
        <v>11</v>
      </c>
      <c r="L15" s="1" t="str">
        <f>TEXT(Tabela1[[#This Row],[Data de Nascimento]],"MMM")</f>
        <v>mai</v>
      </c>
      <c r="M15" s="1">
        <f>YEAR(Tabela1[[#This Row],[Data de Nascimento]])</f>
        <v>2005</v>
      </c>
      <c r="N15" s="1">
        <v>1</v>
      </c>
    </row>
    <row r="16" spans="1:14">
      <c r="A16" s="1" t="s">
        <v>33</v>
      </c>
      <c r="B16" s="1" t="s">
        <v>8</v>
      </c>
      <c r="C16" s="3">
        <f t="shared" ca="1" si="1"/>
        <v>60</v>
      </c>
      <c r="D16" s="2">
        <v>23808</v>
      </c>
      <c r="E16" s="1" t="s">
        <v>36</v>
      </c>
      <c r="F16" s="1" t="s">
        <v>38</v>
      </c>
      <c r="G16" s="1" t="s">
        <v>15</v>
      </c>
      <c r="I16">
        <v>6</v>
      </c>
      <c r="J16" s="1" t="str">
        <f ca="1">IF(Tabela1[[#This Row],[Idade]]&lt;18, Tabela1[[#This Row],[Nome do Membro]], "")</f>
        <v/>
      </c>
      <c r="K16" s="1">
        <f t="shared" si="0"/>
        <v>7</v>
      </c>
      <c r="L16" s="1" t="str">
        <f>TEXT(Tabela1[[#This Row],[Data de Nascimento]],"MMM")</f>
        <v>mar</v>
      </c>
      <c r="M16" s="1">
        <f>YEAR(Tabela1[[#This Row],[Data de Nascimento]])</f>
        <v>1965</v>
      </c>
      <c r="N16" s="1">
        <v>1</v>
      </c>
    </row>
    <row r="17" spans="1:14">
      <c r="A17" s="1" t="s">
        <v>34</v>
      </c>
      <c r="B17" s="1" t="s">
        <v>8</v>
      </c>
      <c r="C17" s="3">
        <f t="shared" ca="1" si="1"/>
        <v>38</v>
      </c>
      <c r="D17" s="2">
        <v>31632</v>
      </c>
      <c r="E17" s="1" t="s">
        <v>37</v>
      </c>
      <c r="F17" s="1" t="s">
        <v>38</v>
      </c>
      <c r="G17" s="1" t="s">
        <v>15</v>
      </c>
      <c r="I17">
        <v>6</v>
      </c>
      <c r="J17" s="1" t="str">
        <f ca="1">IF(Tabela1[[#This Row],[Idade]]&lt;18, Tabela1[[#This Row],[Nome do Membro]], "")</f>
        <v/>
      </c>
      <c r="K17" s="1">
        <f t="shared" si="0"/>
        <v>8</v>
      </c>
      <c r="L17" s="1" t="str">
        <f>TEXT(Tabela1[[#This Row],[Data de Nascimento]],"MMM")</f>
        <v>ago</v>
      </c>
      <c r="M17" s="1">
        <f>YEAR(Tabela1[[#This Row],[Data de Nascimento]])</f>
        <v>1986</v>
      </c>
      <c r="N17" s="1">
        <v>1</v>
      </c>
    </row>
    <row r="18" spans="1:14">
      <c r="A18" s="1" t="s">
        <v>35</v>
      </c>
      <c r="B18" s="1" t="s">
        <v>10</v>
      </c>
      <c r="C18" s="3">
        <f t="shared" ca="1" si="1"/>
        <v>10</v>
      </c>
      <c r="D18" s="2">
        <v>42068</v>
      </c>
      <c r="F18" s="1" t="s">
        <v>38</v>
      </c>
      <c r="G18" s="1" t="s">
        <v>15</v>
      </c>
      <c r="I18">
        <v>6</v>
      </c>
      <c r="J18" s="1" t="str">
        <f ca="1">IF(Tabela1[[#This Row],[Idade]]&lt;18, Tabela1[[#This Row],[Nome do Membro]], "")</f>
        <v xml:space="preserve">VICTORIA DE JESUS MARINHO         </v>
      </c>
      <c r="K18" s="1">
        <f t="shared" si="0"/>
        <v>5</v>
      </c>
      <c r="L18" s="1" t="str">
        <f>TEXT(Tabela1[[#This Row],[Data de Nascimento]],"MMM")</f>
        <v>mar</v>
      </c>
      <c r="M18" s="1">
        <f>YEAR(Tabela1[[#This Row],[Data de Nascimento]])</f>
        <v>2015</v>
      </c>
      <c r="N18" s="1">
        <v>1</v>
      </c>
    </row>
    <row r="19" spans="1:14">
      <c r="A19" s="1" t="s">
        <v>39</v>
      </c>
      <c r="B19" s="1" t="s">
        <v>8</v>
      </c>
      <c r="C19" s="3">
        <f t="shared" ca="1" si="1"/>
        <v>125</v>
      </c>
      <c r="D19" s="1"/>
      <c r="E19" s="1" t="s">
        <v>41</v>
      </c>
      <c r="F19" s="1" t="s">
        <v>42</v>
      </c>
      <c r="G19" s="1" t="s">
        <v>15</v>
      </c>
      <c r="I19">
        <v>7</v>
      </c>
      <c r="J19" s="1" t="str">
        <f ca="1">IF(Tabela1[[#This Row],[Idade]]&lt;18, Tabela1[[#This Row],[Nome do Membro]], "")</f>
        <v/>
      </c>
      <c r="K19" s="1">
        <f t="shared" si="0"/>
        <v>0</v>
      </c>
      <c r="L19" s="1" t="str">
        <f>TEXT(Tabela1[[#This Row],[Data de Nascimento]],"MMM")</f>
        <v>jan</v>
      </c>
      <c r="M19" s="1">
        <f>YEAR(Tabela1[[#This Row],[Data de Nascimento]])</f>
        <v>1900</v>
      </c>
      <c r="N19" s="1">
        <v>1</v>
      </c>
    </row>
    <row r="20" spans="1:14">
      <c r="A20" s="1" t="s">
        <v>40</v>
      </c>
      <c r="B20" s="1" t="s">
        <v>8</v>
      </c>
      <c r="C20" s="3">
        <f t="shared" ca="1" si="1"/>
        <v>125</v>
      </c>
      <c r="F20" s="1" t="s">
        <v>42</v>
      </c>
      <c r="G20" s="1" t="s">
        <v>15</v>
      </c>
      <c r="I20">
        <v>7</v>
      </c>
      <c r="J20" s="1" t="str">
        <f ca="1">IF(Tabela1[[#This Row],[Idade]]&lt;18, Tabela1[[#This Row],[Nome do Membro]], "")</f>
        <v/>
      </c>
      <c r="K20" s="1">
        <f t="shared" si="0"/>
        <v>0</v>
      </c>
      <c r="L20" s="1" t="str">
        <f>TEXT(Tabela1[[#This Row],[Data de Nascimento]],"MMM")</f>
        <v>jan</v>
      </c>
      <c r="M20" s="1">
        <f>YEAR(Tabela1[[#This Row],[Data de Nascimento]])</f>
        <v>1900</v>
      </c>
      <c r="N20" s="1">
        <v>1</v>
      </c>
    </row>
    <row r="21" spans="1:14">
      <c r="A21" s="1" t="s">
        <v>43</v>
      </c>
      <c r="B21" s="1" t="s">
        <v>10</v>
      </c>
      <c r="C21" s="3">
        <f t="shared" ca="1" si="1"/>
        <v>49</v>
      </c>
      <c r="D21" s="2">
        <v>27600</v>
      </c>
      <c r="E21" s="1" t="s">
        <v>45</v>
      </c>
      <c r="F21" s="1" t="s">
        <v>46</v>
      </c>
      <c r="G21" s="1" t="s">
        <v>15</v>
      </c>
      <c r="I21">
        <v>8</v>
      </c>
      <c r="J21" s="1" t="str">
        <f ca="1">IF(Tabela1[[#This Row],[Idade]]&lt;18, Tabela1[[#This Row],[Nome do Membro]], "")</f>
        <v/>
      </c>
      <c r="K21" s="1">
        <f t="shared" si="0"/>
        <v>25</v>
      </c>
      <c r="L21" s="1" t="str">
        <f>TEXT(Tabela1[[#This Row],[Data de Nascimento]],"MMM")</f>
        <v>jul</v>
      </c>
      <c r="M21" s="1">
        <f>YEAR(Tabela1[[#This Row],[Data de Nascimento]])</f>
        <v>1975</v>
      </c>
      <c r="N21" s="1">
        <v>1</v>
      </c>
    </row>
    <row r="22" spans="1:14">
      <c r="A22" s="1" t="s">
        <v>44</v>
      </c>
      <c r="B22" s="1" t="s">
        <v>10</v>
      </c>
      <c r="C22" s="3">
        <f t="shared" ca="1" si="1"/>
        <v>13</v>
      </c>
      <c r="D22" s="2">
        <v>40920</v>
      </c>
      <c r="F22" s="1" t="s">
        <v>47</v>
      </c>
      <c r="G22" s="1" t="s">
        <v>15</v>
      </c>
      <c r="I22">
        <v>8</v>
      </c>
      <c r="J22" s="1" t="str">
        <f ca="1">IF(Tabela1[[#This Row],[Idade]]&lt;18, Tabela1[[#This Row],[Nome do Membro]], "")</f>
        <v xml:space="preserve">JHULIA RIBEIRO SILVA              </v>
      </c>
      <c r="K22" s="1">
        <f t="shared" si="0"/>
        <v>12</v>
      </c>
      <c r="L22" s="1" t="str">
        <f>TEXT(Tabela1[[#This Row],[Data de Nascimento]],"MMM")</f>
        <v>jan</v>
      </c>
      <c r="M22" s="1">
        <f>YEAR(Tabela1[[#This Row],[Data de Nascimento]])</f>
        <v>2012</v>
      </c>
      <c r="N22" s="1">
        <v>1</v>
      </c>
    </row>
    <row r="23" spans="1:14">
      <c r="A23" s="1" t="s">
        <v>48</v>
      </c>
      <c r="B23" s="1" t="s">
        <v>8</v>
      </c>
      <c r="C23" s="3">
        <f t="shared" ca="1" si="1"/>
        <v>59</v>
      </c>
      <c r="D23" s="2">
        <v>24086</v>
      </c>
      <c r="E23" s="1" t="s">
        <v>51</v>
      </c>
      <c r="F23" s="1" t="s">
        <v>53</v>
      </c>
      <c r="G23" s="1" t="s">
        <v>15</v>
      </c>
      <c r="I23">
        <v>9</v>
      </c>
      <c r="J23" s="1" t="str">
        <f ca="1">IF(Tabela1[[#This Row],[Idade]]&lt;18, Tabela1[[#This Row],[Nome do Membro]], "")</f>
        <v/>
      </c>
      <c r="K23" s="1">
        <f t="shared" si="0"/>
        <v>10</v>
      </c>
      <c r="L23" s="1" t="str">
        <f>TEXT(Tabela1[[#This Row],[Data de Nascimento]],"MMM")</f>
        <v>dez</v>
      </c>
      <c r="M23" s="1">
        <f>YEAR(Tabela1[[#This Row],[Data de Nascimento]])</f>
        <v>1965</v>
      </c>
      <c r="N23" s="1">
        <v>1</v>
      </c>
    </row>
    <row r="24" spans="1:14">
      <c r="A24" s="1" t="s">
        <v>49</v>
      </c>
      <c r="B24" s="1" t="s">
        <v>9</v>
      </c>
      <c r="C24" s="3">
        <f t="shared" ca="1" si="1"/>
        <v>53</v>
      </c>
      <c r="D24" s="2">
        <v>26291</v>
      </c>
      <c r="E24" s="1" t="s">
        <v>52</v>
      </c>
      <c r="F24" s="1" t="s">
        <v>53</v>
      </c>
      <c r="G24" s="1" t="s">
        <v>15</v>
      </c>
      <c r="I24">
        <v>9</v>
      </c>
      <c r="J24" s="1" t="str">
        <f ca="1">IF(Tabela1[[#This Row],[Idade]]&lt;18, Tabela1[[#This Row],[Nome do Membro]], "")</f>
        <v/>
      </c>
      <c r="K24" s="1">
        <f t="shared" si="0"/>
        <v>24</v>
      </c>
      <c r="L24" s="1" t="str">
        <f>TEXT(Tabela1[[#This Row],[Data de Nascimento]],"MMM")</f>
        <v>dez</v>
      </c>
      <c r="M24" s="1">
        <f>YEAR(Tabela1[[#This Row],[Data de Nascimento]])</f>
        <v>1971</v>
      </c>
      <c r="N24" s="1">
        <v>1</v>
      </c>
    </row>
    <row r="25" spans="1:14">
      <c r="A25" s="1" t="s">
        <v>50</v>
      </c>
      <c r="B25" s="1" t="s">
        <v>10</v>
      </c>
      <c r="C25" s="3">
        <f t="shared" ca="1" si="1"/>
        <v>17</v>
      </c>
      <c r="D25" s="2">
        <v>39420</v>
      </c>
      <c r="F25" s="1" t="s">
        <v>53</v>
      </c>
      <c r="G25" s="1" t="s">
        <v>15</v>
      </c>
      <c r="I25">
        <v>9</v>
      </c>
      <c r="J25" s="1" t="str">
        <f ca="1">IF(Tabela1[[#This Row],[Idade]]&lt;18, Tabela1[[#This Row],[Nome do Membro]], "")</f>
        <v xml:space="preserve">SOPHIA ARAUJO FRANÇA DOS STOS  </v>
      </c>
      <c r="K25" s="1">
        <f t="shared" si="0"/>
        <v>4</v>
      </c>
      <c r="L25" s="1" t="str">
        <f>TEXT(Tabela1[[#This Row],[Data de Nascimento]],"MMM")</f>
        <v>dez</v>
      </c>
      <c r="M25" s="1">
        <f>YEAR(Tabela1[[#This Row],[Data de Nascimento]])</f>
        <v>2007</v>
      </c>
      <c r="N25" s="1">
        <v>1</v>
      </c>
    </row>
    <row r="26" spans="1:14">
      <c r="A26" s="1" t="s">
        <v>54</v>
      </c>
      <c r="C26" s="3">
        <f t="shared" ca="1" si="1"/>
        <v>125</v>
      </c>
      <c r="G26" s="1" t="s">
        <v>15</v>
      </c>
      <c r="I26">
        <v>10</v>
      </c>
      <c r="J26" s="1" t="str">
        <f ca="1">IF(Tabela1[[#This Row],[Idade]]&lt;18, Tabela1[[#This Row],[Nome do Membro]], "")</f>
        <v/>
      </c>
      <c r="K26" s="1">
        <f t="shared" si="0"/>
        <v>0</v>
      </c>
      <c r="L26" s="1" t="str">
        <f>TEXT(Tabela1[[#This Row],[Data de Nascimento]],"MMM")</f>
        <v>jan</v>
      </c>
      <c r="M26" s="1">
        <f>YEAR(Tabela1[[#This Row],[Data de Nascimento]])</f>
        <v>1900</v>
      </c>
      <c r="N26" s="1">
        <v>1</v>
      </c>
    </row>
    <row r="27" spans="1:14">
      <c r="A27" s="1" t="s">
        <v>55</v>
      </c>
      <c r="B27" s="1" t="s">
        <v>9</v>
      </c>
      <c r="C27" s="3">
        <f t="shared" ca="1" si="1"/>
        <v>37</v>
      </c>
      <c r="D27" s="2">
        <v>31947</v>
      </c>
      <c r="E27" s="1" t="s">
        <v>59</v>
      </c>
      <c r="F27" s="1" t="s">
        <v>60</v>
      </c>
      <c r="G27" s="1" t="s">
        <v>15</v>
      </c>
      <c r="I27">
        <v>11</v>
      </c>
      <c r="J27" s="1" t="str">
        <f ca="1">IF(Tabela1[[#This Row],[Idade]]&lt;18, Tabela1[[#This Row],[Nome do Membro]], "")</f>
        <v/>
      </c>
      <c r="K27" s="1">
        <f t="shared" si="0"/>
        <v>19</v>
      </c>
      <c r="L27" s="1" t="str">
        <f>TEXT(Tabela1[[#This Row],[Data de Nascimento]],"MMM")</f>
        <v>jun</v>
      </c>
      <c r="M27" s="1">
        <f>YEAR(Tabela1[[#This Row],[Data de Nascimento]])</f>
        <v>1987</v>
      </c>
      <c r="N27" s="1">
        <v>1</v>
      </c>
    </row>
    <row r="28" spans="1:14">
      <c r="A28" s="1" t="s">
        <v>56</v>
      </c>
      <c r="B28" s="1" t="s">
        <v>11</v>
      </c>
      <c r="C28" s="3">
        <f t="shared" ca="1" si="1"/>
        <v>13</v>
      </c>
      <c r="D28" s="2">
        <v>40921</v>
      </c>
      <c r="F28" s="1" t="s">
        <v>60</v>
      </c>
      <c r="G28" s="1" t="s">
        <v>15</v>
      </c>
      <c r="I28">
        <v>11</v>
      </c>
      <c r="J28" s="1" t="str">
        <f ca="1">IF(Tabela1[[#This Row],[Idade]]&lt;18, Tabela1[[#This Row],[Nome do Membro]], "")</f>
        <v xml:space="preserve">GUILHERME ALEXANDRE DE SOUZA  </v>
      </c>
      <c r="K28" s="1">
        <f t="shared" si="0"/>
        <v>13</v>
      </c>
      <c r="L28" s="1" t="str">
        <f>TEXT(Tabela1[[#This Row],[Data de Nascimento]],"MMM")</f>
        <v>jan</v>
      </c>
      <c r="M28" s="1">
        <f>YEAR(Tabela1[[#This Row],[Data de Nascimento]])</f>
        <v>2012</v>
      </c>
      <c r="N28" s="1">
        <v>1</v>
      </c>
    </row>
    <row r="29" spans="1:14">
      <c r="A29" s="1" t="s">
        <v>57</v>
      </c>
      <c r="B29" s="1" t="s">
        <v>11</v>
      </c>
      <c r="C29" s="3">
        <f t="shared" ca="1" si="1"/>
        <v>6</v>
      </c>
      <c r="D29" s="2">
        <v>43475</v>
      </c>
      <c r="F29" s="1" t="s">
        <v>60</v>
      </c>
      <c r="G29" s="1" t="s">
        <v>15</v>
      </c>
      <c r="I29">
        <v>11</v>
      </c>
      <c r="J29" s="1" t="str">
        <f ca="1">IF(Tabela1[[#This Row],[Idade]]&lt;18, Tabela1[[#This Row],[Nome do Membro]], "")</f>
        <v xml:space="preserve">GUSTAVO ALEXANDRE DE SOUZA      </v>
      </c>
      <c r="K29" s="1">
        <f t="shared" si="0"/>
        <v>10</v>
      </c>
      <c r="L29" s="1" t="str">
        <f>TEXT(Tabela1[[#This Row],[Data de Nascimento]],"MMM")</f>
        <v>jan</v>
      </c>
      <c r="M29" s="1">
        <f>YEAR(Tabela1[[#This Row],[Data de Nascimento]])</f>
        <v>2019</v>
      </c>
      <c r="N29" s="1">
        <v>1</v>
      </c>
    </row>
    <row r="30" spans="1:14">
      <c r="A30" s="1" t="s">
        <v>58</v>
      </c>
      <c r="B30" s="1" t="s">
        <v>11</v>
      </c>
      <c r="C30" s="3">
        <f t="shared" ca="1" si="1"/>
        <v>6</v>
      </c>
      <c r="D30" s="2">
        <v>43485</v>
      </c>
      <c r="F30" s="1" t="s">
        <v>60</v>
      </c>
      <c r="G30" s="1" t="s">
        <v>15</v>
      </c>
      <c r="I30">
        <v>11</v>
      </c>
      <c r="J30" s="1" t="str">
        <f ca="1">IF(Tabela1[[#This Row],[Idade]]&lt;18, Tabela1[[#This Row],[Nome do Membro]], "")</f>
        <v xml:space="preserve">GAEL ALEXANDRE DE SOUZA               </v>
      </c>
      <c r="K30" s="1">
        <f t="shared" si="0"/>
        <v>20</v>
      </c>
      <c r="L30" s="1" t="str">
        <f>TEXT(Tabela1[[#This Row],[Data de Nascimento]],"MMM")</f>
        <v>jan</v>
      </c>
      <c r="M30" s="1">
        <f>YEAR(Tabela1[[#This Row],[Data de Nascimento]])</f>
        <v>2019</v>
      </c>
      <c r="N30" s="1">
        <v>1</v>
      </c>
    </row>
    <row r="31" spans="1:14">
      <c r="A31" s="1" t="s">
        <v>61</v>
      </c>
      <c r="B31" s="1" t="s">
        <v>9</v>
      </c>
      <c r="C31" s="3">
        <f t="shared" ca="1" si="1"/>
        <v>47</v>
      </c>
      <c r="D31" s="2">
        <v>28346</v>
      </c>
      <c r="E31" s="1" t="s">
        <v>65</v>
      </c>
      <c r="F31" s="1" t="s">
        <v>67</v>
      </c>
      <c r="G31" s="1" t="s">
        <v>15</v>
      </c>
      <c r="I31">
        <v>12</v>
      </c>
      <c r="J31" s="1" t="str">
        <f ca="1">IF(Tabela1[[#This Row],[Idade]]&lt;18, Tabela1[[#This Row],[Nome do Membro]], "")</f>
        <v/>
      </c>
      <c r="K31" s="1">
        <f t="shared" si="0"/>
        <v>9</v>
      </c>
      <c r="L31" s="1" t="str">
        <f>TEXT(Tabela1[[#This Row],[Data de Nascimento]],"MMM")</f>
        <v>ago</v>
      </c>
      <c r="M31" s="1">
        <f>YEAR(Tabela1[[#This Row],[Data de Nascimento]])</f>
        <v>1977</v>
      </c>
      <c r="N31" s="1">
        <v>1</v>
      </c>
    </row>
    <row r="32" spans="1:14">
      <c r="A32" s="1" t="s">
        <v>62</v>
      </c>
      <c r="B32" s="1" t="s">
        <v>8</v>
      </c>
      <c r="C32" s="3">
        <f t="shared" ca="1" si="1"/>
        <v>54</v>
      </c>
      <c r="D32" s="2">
        <v>25995</v>
      </c>
      <c r="E32" s="1" t="s">
        <v>66</v>
      </c>
      <c r="F32" s="1" t="s">
        <v>67</v>
      </c>
      <c r="G32" s="1" t="s">
        <v>15</v>
      </c>
      <c r="I32">
        <v>12</v>
      </c>
      <c r="J32" s="1" t="str">
        <f ca="1">IF(Tabela1[[#This Row],[Idade]]&lt;18, Tabela1[[#This Row],[Nome do Membro]], "")</f>
        <v/>
      </c>
      <c r="K32" s="1">
        <f t="shared" si="0"/>
        <v>3</v>
      </c>
      <c r="L32" s="1" t="str">
        <f>TEXT(Tabela1[[#This Row],[Data de Nascimento]],"MMM")</f>
        <v>mar</v>
      </c>
      <c r="M32" s="1">
        <f>YEAR(Tabela1[[#This Row],[Data de Nascimento]])</f>
        <v>1971</v>
      </c>
      <c r="N32" s="1">
        <v>1</v>
      </c>
    </row>
    <row r="33" spans="1:14">
      <c r="A33" s="1" t="s">
        <v>63</v>
      </c>
      <c r="B33" s="1" t="s">
        <v>11</v>
      </c>
      <c r="C33" s="3">
        <f t="shared" ca="1" si="1"/>
        <v>18</v>
      </c>
      <c r="D33" s="2">
        <v>38799</v>
      </c>
      <c r="F33" s="1" t="s">
        <v>67</v>
      </c>
      <c r="G33" s="1" t="s">
        <v>15</v>
      </c>
      <c r="I33">
        <v>12</v>
      </c>
      <c r="J33" s="1" t="str">
        <f ca="1">IF(Tabela1[[#This Row],[Idade]]&lt;18, Tabela1[[#This Row],[Nome do Membro]], "")</f>
        <v/>
      </c>
      <c r="K33" s="1">
        <f t="shared" si="0"/>
        <v>23</v>
      </c>
      <c r="L33" s="1" t="str">
        <f>TEXT(Tabela1[[#This Row],[Data de Nascimento]],"MMM")</f>
        <v>mar</v>
      </c>
      <c r="M33" s="1">
        <f>YEAR(Tabela1[[#This Row],[Data de Nascimento]])</f>
        <v>2006</v>
      </c>
      <c r="N33" s="1">
        <v>1</v>
      </c>
    </row>
    <row r="34" spans="1:14">
      <c r="A34" s="1" t="s">
        <v>64</v>
      </c>
      <c r="B34" s="1" t="s">
        <v>11</v>
      </c>
      <c r="C34" s="3">
        <f t="shared" ca="1" si="1"/>
        <v>16</v>
      </c>
      <c r="D34" s="2">
        <v>39730</v>
      </c>
      <c r="F34" s="1" t="s">
        <v>67</v>
      </c>
      <c r="G34" s="1" t="s">
        <v>15</v>
      </c>
      <c r="I34">
        <v>12</v>
      </c>
      <c r="J34" s="1" t="str">
        <f ca="1">IF(Tabela1[[#This Row],[Idade]]&lt;18, Tabela1[[#This Row],[Nome do Membro]], "")</f>
        <v xml:space="preserve">PEDRO SANTIAGO PESTANA        </v>
      </c>
      <c r="K34" s="1">
        <f t="shared" si="0"/>
        <v>9</v>
      </c>
      <c r="L34" s="1" t="str">
        <f>TEXT(Tabela1[[#This Row],[Data de Nascimento]],"MMM")</f>
        <v>out</v>
      </c>
      <c r="M34" s="1">
        <f>YEAR(Tabela1[[#This Row],[Data de Nascimento]])</f>
        <v>2008</v>
      </c>
      <c r="N34" s="1">
        <v>1</v>
      </c>
    </row>
    <row r="35" spans="1:14">
      <c r="A35" s="1" t="s">
        <v>68</v>
      </c>
      <c r="B35" s="1" t="s">
        <v>8</v>
      </c>
      <c r="C35" s="3">
        <f t="shared" ca="1" si="1"/>
        <v>43</v>
      </c>
      <c r="D35" s="2">
        <v>29794</v>
      </c>
      <c r="E35" s="1" t="s">
        <v>69</v>
      </c>
      <c r="F35" s="1" t="s">
        <v>70</v>
      </c>
      <c r="G35" s="1" t="s">
        <v>15</v>
      </c>
      <c r="I35">
        <v>13</v>
      </c>
      <c r="J35" s="1" t="str">
        <f ca="1">IF(Tabela1[[#This Row],[Idade]]&lt;18, Tabela1[[#This Row],[Nome do Membro]], "")</f>
        <v/>
      </c>
      <c r="K35" s="1">
        <f t="shared" si="0"/>
        <v>27</v>
      </c>
      <c r="L35" s="1" t="str">
        <f>TEXT(Tabela1[[#This Row],[Data de Nascimento]],"MMM")</f>
        <v>jul</v>
      </c>
      <c r="M35" s="1">
        <f>YEAR(Tabela1[[#This Row],[Data de Nascimento]])</f>
        <v>1981</v>
      </c>
      <c r="N35" s="1">
        <v>1</v>
      </c>
    </row>
    <row r="36" spans="1:14">
      <c r="A36" s="1" t="s">
        <v>71</v>
      </c>
      <c r="B36" s="1" t="s">
        <v>8</v>
      </c>
      <c r="C36" s="3">
        <f t="shared" ca="1" si="1"/>
        <v>20</v>
      </c>
      <c r="D36" s="2">
        <v>38353</v>
      </c>
      <c r="E36" s="1" t="s">
        <v>74</v>
      </c>
      <c r="F36" s="1" t="s">
        <v>76</v>
      </c>
      <c r="G36" s="1" t="s">
        <v>15</v>
      </c>
      <c r="I36">
        <v>14</v>
      </c>
      <c r="J36" s="1" t="str">
        <f ca="1">IF(Tabela1[[#This Row],[Idade]]&lt;18, Tabela1[[#This Row],[Nome do Membro]], "")</f>
        <v/>
      </c>
      <c r="K36" s="1">
        <f t="shared" si="0"/>
        <v>1</v>
      </c>
      <c r="L36" s="1" t="str">
        <f>TEXT(Tabela1[[#This Row],[Data de Nascimento]],"MMM")</f>
        <v>jan</v>
      </c>
      <c r="M36" s="1">
        <f>YEAR(Tabela1[[#This Row],[Data de Nascimento]])</f>
        <v>2005</v>
      </c>
      <c r="N36" s="1">
        <v>1</v>
      </c>
    </row>
    <row r="37" spans="1:14">
      <c r="A37" s="1" t="s">
        <v>72</v>
      </c>
      <c r="B37" s="1" t="s">
        <v>9</v>
      </c>
      <c r="C37" s="3">
        <f t="shared" ca="1" si="1"/>
        <v>47</v>
      </c>
      <c r="D37" s="2">
        <v>28477</v>
      </c>
      <c r="E37" s="1" t="s">
        <v>75</v>
      </c>
      <c r="F37" s="1" t="s">
        <v>76</v>
      </c>
      <c r="G37" s="1" t="s">
        <v>15</v>
      </c>
      <c r="I37">
        <v>14</v>
      </c>
      <c r="J37" s="1" t="str">
        <f ca="1">IF(Tabela1[[#This Row],[Idade]]&lt;18, Tabela1[[#This Row],[Nome do Membro]], "")</f>
        <v/>
      </c>
      <c r="K37" s="1">
        <f t="shared" si="0"/>
        <v>18</v>
      </c>
      <c r="L37" s="1" t="str">
        <f>TEXT(Tabela1[[#This Row],[Data de Nascimento]],"MMM")</f>
        <v>dez</v>
      </c>
      <c r="M37" s="1">
        <f>YEAR(Tabela1[[#This Row],[Data de Nascimento]])</f>
        <v>1977</v>
      </c>
      <c r="N37" s="1">
        <v>1</v>
      </c>
    </row>
    <row r="38" spans="1:14">
      <c r="A38" s="1" t="s">
        <v>73</v>
      </c>
      <c r="B38" s="1" t="s">
        <v>11</v>
      </c>
      <c r="C38" s="3">
        <f t="shared" ca="1" si="1"/>
        <v>125</v>
      </c>
      <c r="F38" s="1" t="s">
        <v>76</v>
      </c>
      <c r="G38" s="1" t="s">
        <v>15</v>
      </c>
      <c r="I38">
        <v>14</v>
      </c>
      <c r="J38" s="1" t="str">
        <f ca="1">IF(Tabela1[[#This Row],[Idade]]&lt;18, Tabela1[[#This Row],[Nome do Membro]], "")</f>
        <v/>
      </c>
      <c r="K38" s="1">
        <f t="shared" si="0"/>
        <v>0</v>
      </c>
      <c r="L38" s="1" t="str">
        <f>TEXT(Tabela1[[#This Row],[Data de Nascimento]],"MMM")</f>
        <v>jan</v>
      </c>
      <c r="M38" s="1">
        <f>YEAR(Tabela1[[#This Row],[Data de Nascimento]])</f>
        <v>1900</v>
      </c>
      <c r="N38" s="1">
        <v>1</v>
      </c>
    </row>
    <row r="39" spans="1:14">
      <c r="A39" s="1" t="s">
        <v>77</v>
      </c>
      <c r="B39" s="1" t="s">
        <v>8</v>
      </c>
      <c r="C39" s="3">
        <f t="shared" ca="1" si="1"/>
        <v>82</v>
      </c>
      <c r="D39" s="2">
        <v>15618</v>
      </c>
      <c r="E39" s="1" t="s">
        <v>79</v>
      </c>
      <c r="F39" s="1" t="s">
        <v>81</v>
      </c>
      <c r="G39" s="1" t="s">
        <v>15</v>
      </c>
      <c r="I39">
        <v>15</v>
      </c>
      <c r="J39" s="1" t="str">
        <f ca="1">IF(Tabela1[[#This Row],[Idade]]&lt;18, Tabela1[[#This Row],[Nome do Membro]], "")</f>
        <v/>
      </c>
      <c r="K39" s="1">
        <f t="shared" si="0"/>
        <v>4</v>
      </c>
      <c r="L39" s="1" t="str">
        <f>TEXT(Tabela1[[#This Row],[Data de Nascimento]],"MMM")</f>
        <v>out</v>
      </c>
      <c r="M39" s="1">
        <f>YEAR(Tabela1[[#This Row],[Data de Nascimento]])</f>
        <v>1942</v>
      </c>
      <c r="N39" s="1">
        <v>1</v>
      </c>
    </row>
    <row r="40" spans="1:14">
      <c r="A40" s="1" t="s">
        <v>78</v>
      </c>
      <c r="B40" s="1" t="s">
        <v>9</v>
      </c>
      <c r="C40" s="3">
        <f t="shared" ca="1" si="1"/>
        <v>74</v>
      </c>
      <c r="D40" s="2">
        <v>18586</v>
      </c>
      <c r="E40" s="1" t="s">
        <v>80</v>
      </c>
      <c r="F40" s="1" t="s">
        <v>81</v>
      </c>
      <c r="G40" s="1" t="s">
        <v>15</v>
      </c>
      <c r="I40">
        <v>15</v>
      </c>
      <c r="J40" s="1" t="str">
        <f ca="1">IF(Tabela1[[#This Row],[Idade]]&lt;18, Tabela1[[#This Row],[Nome do Membro]], "")</f>
        <v/>
      </c>
      <c r="K40" s="1">
        <f t="shared" si="0"/>
        <v>19</v>
      </c>
      <c r="L40" s="1" t="str">
        <f>TEXT(Tabela1[[#This Row],[Data de Nascimento]],"MMM")</f>
        <v>nov</v>
      </c>
      <c r="M40" s="1">
        <f>YEAR(Tabela1[[#This Row],[Data de Nascimento]])</f>
        <v>1950</v>
      </c>
      <c r="N40" s="1">
        <v>1</v>
      </c>
    </row>
    <row r="41" spans="1:14">
      <c r="A41" s="1" t="s">
        <v>82</v>
      </c>
      <c r="B41" s="1" t="s">
        <v>11</v>
      </c>
      <c r="C41" s="3">
        <f t="shared" ca="1" si="1"/>
        <v>37</v>
      </c>
      <c r="D41" s="2">
        <v>31902</v>
      </c>
      <c r="E41" s="1" t="s">
        <v>83</v>
      </c>
      <c r="F41" s="1" t="s">
        <v>84</v>
      </c>
      <c r="G41" s="1" t="s">
        <v>15</v>
      </c>
      <c r="I41">
        <v>16</v>
      </c>
      <c r="J41" s="1" t="str">
        <f ca="1">IF(Tabela1[[#This Row],[Idade]]&lt;18, Tabela1[[#This Row],[Nome do Membro]], "")</f>
        <v/>
      </c>
      <c r="K41" s="1">
        <f t="shared" si="0"/>
        <v>5</v>
      </c>
      <c r="L41" s="1" t="str">
        <f>TEXT(Tabela1[[#This Row],[Data de Nascimento]],"MMM")</f>
        <v>mai</v>
      </c>
      <c r="M41" s="1">
        <f>YEAR(Tabela1[[#This Row],[Data de Nascimento]])</f>
        <v>1987</v>
      </c>
      <c r="N41" s="1">
        <v>1</v>
      </c>
    </row>
    <row r="42" spans="1:14">
      <c r="A42" s="1" t="s">
        <v>85</v>
      </c>
      <c r="B42" s="1" t="s">
        <v>8</v>
      </c>
      <c r="C42" s="3">
        <f t="shared" ca="1" si="1"/>
        <v>125</v>
      </c>
      <c r="E42" s="1" t="s">
        <v>87</v>
      </c>
      <c r="F42" s="1" t="s">
        <v>88</v>
      </c>
      <c r="G42" s="1" t="s">
        <v>15</v>
      </c>
      <c r="I42">
        <v>17</v>
      </c>
      <c r="J42" s="1" t="str">
        <f ca="1">IF(Tabela1[[#This Row],[Idade]]&lt;18, Tabela1[[#This Row],[Nome do Membro]], "")</f>
        <v/>
      </c>
      <c r="K42" s="1">
        <f t="shared" si="0"/>
        <v>0</v>
      </c>
      <c r="L42" s="1" t="str">
        <f>TEXT(Tabela1[[#This Row],[Data de Nascimento]],"MMM")</f>
        <v>jan</v>
      </c>
      <c r="M42" s="1">
        <f>YEAR(Tabela1[[#This Row],[Data de Nascimento]])</f>
        <v>1900</v>
      </c>
      <c r="N42" s="1">
        <v>1</v>
      </c>
    </row>
    <row r="43" spans="1:14">
      <c r="A43" s="1" t="s">
        <v>86</v>
      </c>
      <c r="B43" s="1" t="s">
        <v>9</v>
      </c>
      <c r="C43" s="3">
        <f t="shared" ca="1" si="1"/>
        <v>125</v>
      </c>
      <c r="F43" s="1" t="s">
        <v>88</v>
      </c>
      <c r="G43" s="1" t="s">
        <v>15</v>
      </c>
      <c r="I43">
        <v>17</v>
      </c>
      <c r="J43" s="1" t="str">
        <f ca="1">IF(Tabela1[[#This Row],[Idade]]&lt;18, Tabela1[[#This Row],[Nome do Membro]], "")</f>
        <v/>
      </c>
      <c r="K43" s="1">
        <f t="shared" si="0"/>
        <v>0</v>
      </c>
      <c r="L43" s="1" t="str">
        <f>TEXT(Tabela1[[#This Row],[Data de Nascimento]],"MMM")</f>
        <v>jan</v>
      </c>
      <c r="M43" s="1">
        <f>YEAR(Tabela1[[#This Row],[Data de Nascimento]])</f>
        <v>1900</v>
      </c>
      <c r="N43" s="1">
        <v>1</v>
      </c>
    </row>
    <row r="44" spans="1:14">
      <c r="A44" s="1" t="s">
        <v>89</v>
      </c>
      <c r="B44" s="1" t="s">
        <v>9</v>
      </c>
      <c r="C44" s="3">
        <f t="shared" ca="1" si="1"/>
        <v>45</v>
      </c>
      <c r="D44" s="2">
        <v>29279</v>
      </c>
      <c r="E44" s="1" t="s">
        <v>94</v>
      </c>
      <c r="F44" s="1" t="s">
        <v>96</v>
      </c>
      <c r="G44" s="1" t="s">
        <v>15</v>
      </c>
      <c r="I44">
        <v>18</v>
      </c>
      <c r="J44" s="1" t="str">
        <f ca="1">IF(Tabela1[[#This Row],[Idade]]&lt;18, Tabela1[[#This Row],[Nome do Membro]], "")</f>
        <v/>
      </c>
      <c r="K44" s="1">
        <f t="shared" si="0"/>
        <v>28</v>
      </c>
      <c r="L44" s="1" t="str">
        <f>TEXT(Tabela1[[#This Row],[Data de Nascimento]],"MMM")</f>
        <v>fev</v>
      </c>
      <c r="M44" s="1">
        <f>YEAR(Tabela1[[#This Row],[Data de Nascimento]])</f>
        <v>1980</v>
      </c>
      <c r="N44" s="1">
        <v>1</v>
      </c>
    </row>
    <row r="45" spans="1:14">
      <c r="A45" s="1" t="s">
        <v>90</v>
      </c>
      <c r="B45" s="1" t="s">
        <v>8</v>
      </c>
      <c r="C45" s="3">
        <f t="shared" ca="1" si="1"/>
        <v>42</v>
      </c>
      <c r="D45" s="2">
        <v>30046</v>
      </c>
      <c r="E45" s="1" t="s">
        <v>95</v>
      </c>
      <c r="F45" s="1" t="s">
        <v>97</v>
      </c>
      <c r="G45" s="1" t="s">
        <v>15</v>
      </c>
      <c r="I45">
        <v>18</v>
      </c>
      <c r="J45" s="1" t="str">
        <f ca="1">IF(Tabela1[[#This Row],[Idade]]&lt;18, Tabela1[[#This Row],[Nome do Membro]], "")</f>
        <v/>
      </c>
      <c r="K45" s="1">
        <f t="shared" si="0"/>
        <v>5</v>
      </c>
      <c r="L45" s="1" t="str">
        <f>TEXT(Tabela1[[#This Row],[Data de Nascimento]],"MMM")</f>
        <v>abr</v>
      </c>
      <c r="M45" s="1">
        <f>YEAR(Tabela1[[#This Row],[Data de Nascimento]])</f>
        <v>1982</v>
      </c>
      <c r="N45" s="1">
        <v>1</v>
      </c>
    </row>
    <row r="46" spans="1:14">
      <c r="A46" s="1" t="s">
        <v>91</v>
      </c>
      <c r="B46" s="1" t="s">
        <v>11</v>
      </c>
      <c r="C46" s="3">
        <f t="shared" ca="1" si="1"/>
        <v>9</v>
      </c>
      <c r="D46" s="2">
        <v>42267</v>
      </c>
      <c r="F46" s="1" t="s">
        <v>98</v>
      </c>
      <c r="G46" s="1" t="s">
        <v>15</v>
      </c>
      <c r="I46">
        <v>18</v>
      </c>
      <c r="J46" s="1" t="str">
        <f ca="1">IF(Tabela1[[#This Row],[Idade]]&lt;18, Tabela1[[#This Row],[Nome do Membro]], "")</f>
        <v xml:space="preserve">JOÃO PEDRO DOS SANTOS DA SILVA        </v>
      </c>
      <c r="K46" s="1">
        <f t="shared" si="0"/>
        <v>20</v>
      </c>
      <c r="L46" s="1" t="str">
        <f>TEXT(Tabela1[[#This Row],[Data de Nascimento]],"MMM")</f>
        <v>set</v>
      </c>
      <c r="M46" s="1">
        <f>YEAR(Tabela1[[#This Row],[Data de Nascimento]])</f>
        <v>2015</v>
      </c>
      <c r="N46" s="1">
        <v>1</v>
      </c>
    </row>
    <row r="47" spans="1:14">
      <c r="A47" s="1" t="s">
        <v>92</v>
      </c>
      <c r="B47" s="1" t="s">
        <v>11</v>
      </c>
      <c r="C47" s="3">
        <f t="shared" ca="1" si="1"/>
        <v>4</v>
      </c>
      <c r="D47" s="2">
        <v>43900</v>
      </c>
      <c r="F47" s="1" t="s">
        <v>99</v>
      </c>
      <c r="G47" s="1" t="s">
        <v>15</v>
      </c>
      <c r="I47">
        <v>18</v>
      </c>
      <c r="J47" s="1" t="str">
        <f ca="1">IF(Tabela1[[#This Row],[Idade]]&lt;18, Tabela1[[#This Row],[Nome do Membro]], "")</f>
        <v xml:space="preserve">DAVI DOS SANTOS DA SILVA                       </v>
      </c>
      <c r="K47" s="1">
        <f t="shared" si="0"/>
        <v>10</v>
      </c>
      <c r="L47" s="1" t="str">
        <f>TEXT(Tabela1[[#This Row],[Data de Nascimento]],"MMM")</f>
        <v>mar</v>
      </c>
      <c r="M47" s="1">
        <f>YEAR(Tabela1[[#This Row],[Data de Nascimento]])</f>
        <v>2020</v>
      </c>
      <c r="N47" s="1">
        <v>1</v>
      </c>
    </row>
    <row r="48" spans="1:14">
      <c r="A48" s="1" t="s">
        <v>93</v>
      </c>
      <c r="B48" s="1" t="s">
        <v>11</v>
      </c>
      <c r="C48" s="3">
        <f t="shared" ca="1" si="1"/>
        <v>2</v>
      </c>
      <c r="D48" s="2">
        <v>44738</v>
      </c>
      <c r="F48" s="1" t="s">
        <v>100</v>
      </c>
      <c r="G48" s="1" t="s">
        <v>15</v>
      </c>
      <c r="I48">
        <v>18</v>
      </c>
      <c r="J48" s="1" t="str">
        <f ca="1">IF(Tabela1[[#This Row],[Idade]]&lt;18, Tabela1[[#This Row],[Nome do Membro]], "")</f>
        <v xml:space="preserve">MIGUEL DOS SANTOS DA SILVA                  </v>
      </c>
      <c r="K48" s="1">
        <f t="shared" si="0"/>
        <v>26</v>
      </c>
      <c r="L48" s="1" t="str">
        <f>TEXT(Tabela1[[#This Row],[Data de Nascimento]],"MMM")</f>
        <v>jun</v>
      </c>
      <c r="M48" s="1">
        <f>YEAR(Tabela1[[#This Row],[Data de Nascimento]])</f>
        <v>2022</v>
      </c>
      <c r="N48" s="1">
        <v>1</v>
      </c>
    </row>
    <row r="49" spans="1:14">
      <c r="A49" s="1" t="s">
        <v>101</v>
      </c>
      <c r="B49" s="1" t="s">
        <v>10</v>
      </c>
      <c r="C49" s="3">
        <f t="shared" ca="1" si="1"/>
        <v>41</v>
      </c>
      <c r="D49" s="2">
        <v>30392</v>
      </c>
      <c r="E49" s="1" t="s">
        <v>103</v>
      </c>
      <c r="F49" s="1" t="s">
        <v>105</v>
      </c>
      <c r="G49" s="1" t="s">
        <v>15</v>
      </c>
      <c r="I49">
        <v>19</v>
      </c>
      <c r="J49" s="1" t="str">
        <f ca="1">IF(Tabela1[[#This Row],[Idade]]&lt;18, Tabela1[[#This Row],[Nome do Membro]], "")</f>
        <v/>
      </c>
      <c r="K49" s="1">
        <f t="shared" si="0"/>
        <v>17</v>
      </c>
      <c r="L49" s="1" t="str">
        <f>TEXT(Tabela1[[#This Row],[Data de Nascimento]],"MMM")</f>
        <v>mar</v>
      </c>
      <c r="M49" s="1">
        <f>YEAR(Tabela1[[#This Row],[Data de Nascimento]])</f>
        <v>1983</v>
      </c>
      <c r="N49" s="1">
        <v>1</v>
      </c>
    </row>
    <row r="50" spans="1:14">
      <c r="A50" s="1" t="s">
        <v>102</v>
      </c>
      <c r="C50" s="3">
        <f t="shared" ca="1" si="1"/>
        <v>125</v>
      </c>
      <c r="E50" s="1" t="s">
        <v>104</v>
      </c>
      <c r="F50" s="1" t="s">
        <v>106</v>
      </c>
      <c r="G50" s="1" t="s">
        <v>15</v>
      </c>
      <c r="I50">
        <v>19</v>
      </c>
      <c r="J50" s="1" t="str">
        <f ca="1">IF(Tabela1[[#This Row],[Idade]]&lt;18, Tabela1[[#This Row],[Nome do Membro]], "")</f>
        <v/>
      </c>
      <c r="K50" s="1">
        <f t="shared" si="0"/>
        <v>0</v>
      </c>
      <c r="L50" s="1" t="str">
        <f>TEXT(Tabela1[[#This Row],[Data de Nascimento]],"MMM")</f>
        <v>jan</v>
      </c>
      <c r="M50" s="1">
        <f>YEAR(Tabela1[[#This Row],[Data de Nascimento]])</f>
        <v>1900</v>
      </c>
      <c r="N50" s="1">
        <v>1</v>
      </c>
    </row>
    <row r="51" spans="1:14">
      <c r="A51" s="1" t="s">
        <v>107</v>
      </c>
      <c r="B51" s="1" t="s">
        <v>8</v>
      </c>
      <c r="C51" s="3">
        <f t="shared" ca="1" si="1"/>
        <v>125</v>
      </c>
      <c r="E51" s="1" t="s">
        <v>109</v>
      </c>
      <c r="F51" s="1" t="s">
        <v>110</v>
      </c>
      <c r="G51" s="1" t="s">
        <v>15</v>
      </c>
      <c r="I51">
        <v>20</v>
      </c>
      <c r="J51" s="1" t="str">
        <f ca="1">IF(Tabela1[[#This Row],[Idade]]&lt;18, Tabela1[[#This Row],[Nome do Membro]], "")</f>
        <v/>
      </c>
      <c r="K51" s="1">
        <f t="shared" si="0"/>
        <v>0</v>
      </c>
      <c r="L51" s="1" t="str">
        <f>TEXT(Tabela1[[#This Row],[Data de Nascimento]],"MMM")</f>
        <v>jan</v>
      </c>
      <c r="M51" s="1">
        <f>YEAR(Tabela1[[#This Row],[Data de Nascimento]])</f>
        <v>1900</v>
      </c>
      <c r="N51" s="1">
        <v>1</v>
      </c>
    </row>
    <row r="52" spans="1:14">
      <c r="A52" s="1" t="s">
        <v>108</v>
      </c>
      <c r="B52" s="1" t="s">
        <v>9</v>
      </c>
      <c r="C52" s="3">
        <f t="shared" ca="1" si="1"/>
        <v>125</v>
      </c>
      <c r="F52" s="1" t="s">
        <v>111</v>
      </c>
      <c r="G52" s="1" t="s">
        <v>15</v>
      </c>
      <c r="I52">
        <v>20</v>
      </c>
      <c r="J52" s="1" t="str">
        <f ca="1">IF(Tabela1[[#This Row],[Idade]]&lt;18, Tabela1[[#This Row],[Nome do Membro]], "")</f>
        <v/>
      </c>
      <c r="K52" s="1">
        <f t="shared" si="0"/>
        <v>0</v>
      </c>
      <c r="L52" s="1" t="str">
        <f>TEXT(Tabela1[[#This Row],[Data de Nascimento]],"MMM")</f>
        <v>jan</v>
      </c>
      <c r="M52" s="1">
        <f>YEAR(Tabela1[[#This Row],[Data de Nascimento]])</f>
        <v>1900</v>
      </c>
      <c r="N52" s="1">
        <v>1</v>
      </c>
    </row>
    <row r="53" spans="1:14">
      <c r="A53" s="1" t="s">
        <v>112</v>
      </c>
      <c r="B53" s="1" t="s">
        <v>8</v>
      </c>
      <c r="C53" s="3">
        <f t="shared" ca="1" si="1"/>
        <v>71</v>
      </c>
      <c r="D53" s="2">
        <v>19702</v>
      </c>
      <c r="E53" s="1" t="s">
        <v>114</v>
      </c>
      <c r="F53" s="1" t="s">
        <v>116</v>
      </c>
      <c r="G53" s="1" t="s">
        <v>118</v>
      </c>
      <c r="I53">
        <v>21</v>
      </c>
      <c r="J53" s="1" t="str">
        <f ca="1">IF(Tabela1[[#This Row],[Idade]]&lt;18, Tabela1[[#This Row],[Nome do Membro]], "")</f>
        <v/>
      </c>
      <c r="K53" s="1">
        <f t="shared" si="0"/>
        <v>9</v>
      </c>
      <c r="L53" s="1" t="str">
        <f>TEXT(Tabela1[[#This Row],[Data de Nascimento]],"MMM")</f>
        <v>dez</v>
      </c>
      <c r="M53" s="1">
        <f>YEAR(Tabela1[[#This Row],[Data de Nascimento]])</f>
        <v>1953</v>
      </c>
      <c r="N53" s="1">
        <v>1</v>
      </c>
    </row>
    <row r="54" spans="1:14">
      <c r="A54" s="1" t="s">
        <v>113</v>
      </c>
      <c r="B54" s="1" t="s">
        <v>9</v>
      </c>
      <c r="C54" s="3">
        <f t="shared" ca="1" si="1"/>
        <v>70</v>
      </c>
      <c r="D54" s="2">
        <v>19927</v>
      </c>
      <c r="E54" s="1" t="s">
        <v>115</v>
      </c>
      <c r="F54" s="1" t="s">
        <v>117</v>
      </c>
      <c r="G54" s="1" t="s">
        <v>118</v>
      </c>
      <c r="I54">
        <v>21</v>
      </c>
      <c r="J54" s="1" t="str">
        <f ca="1">IF(Tabela1[[#This Row],[Idade]]&lt;18, Tabela1[[#This Row],[Nome do Membro]], "")</f>
        <v/>
      </c>
      <c r="K54" s="1">
        <f t="shared" si="0"/>
        <v>22</v>
      </c>
      <c r="L54" s="1" t="str">
        <f>TEXT(Tabela1[[#This Row],[Data de Nascimento]],"MMM")</f>
        <v>jul</v>
      </c>
      <c r="M54" s="1">
        <f>YEAR(Tabela1[[#This Row],[Data de Nascimento]])</f>
        <v>1954</v>
      </c>
      <c r="N54" s="1">
        <v>1</v>
      </c>
    </row>
    <row r="55" spans="1:14">
      <c r="A55" s="1" t="s">
        <v>119</v>
      </c>
      <c r="B55" s="1" t="s">
        <v>11</v>
      </c>
      <c r="C55" s="3">
        <f t="shared" ca="1" si="1"/>
        <v>59</v>
      </c>
      <c r="D55" s="2">
        <v>23982</v>
      </c>
      <c r="E55" s="1" t="s">
        <v>114</v>
      </c>
      <c r="F55" s="1" t="s">
        <v>120</v>
      </c>
      <c r="G55" s="1" t="s">
        <v>15</v>
      </c>
      <c r="I55">
        <v>22</v>
      </c>
      <c r="J55" s="1" t="str">
        <f ca="1">IF(Tabela1[[#This Row],[Idade]]&lt;18, Tabela1[[#This Row],[Nome do Membro]], "")</f>
        <v/>
      </c>
      <c r="K55" s="1">
        <f t="shared" si="0"/>
        <v>28</v>
      </c>
      <c r="L55" s="1" t="str">
        <f>TEXT(Tabela1[[#This Row],[Data de Nascimento]],"MMM")</f>
        <v>ago</v>
      </c>
      <c r="M55" s="1">
        <f>YEAR(Tabela1[[#This Row],[Data de Nascimento]])</f>
        <v>1965</v>
      </c>
      <c r="N55" s="1">
        <v>1</v>
      </c>
    </row>
    <row r="56" spans="1:14">
      <c r="A56" s="1" t="s">
        <v>121</v>
      </c>
      <c r="B56" s="1" t="s">
        <v>10</v>
      </c>
      <c r="C56" s="3">
        <f t="shared" ca="1" si="1"/>
        <v>43</v>
      </c>
      <c r="D56" s="2">
        <v>29759</v>
      </c>
      <c r="E56" s="1" t="s">
        <v>122</v>
      </c>
      <c r="F56" s="1" t="s">
        <v>123</v>
      </c>
      <c r="G56" s="1" t="s">
        <v>15</v>
      </c>
      <c r="I56">
        <v>23</v>
      </c>
      <c r="J56" s="1" t="str">
        <f ca="1">IF(Tabela1[[#This Row],[Idade]]&lt;18, Tabela1[[#This Row],[Nome do Membro]], "")</f>
        <v/>
      </c>
      <c r="K56" s="1">
        <f t="shared" si="0"/>
        <v>22</v>
      </c>
      <c r="L56" s="1" t="str">
        <f>TEXT(Tabela1[[#This Row],[Data de Nascimento]],"MMM")</f>
        <v>jun</v>
      </c>
      <c r="M56" s="1">
        <f>YEAR(Tabela1[[#This Row],[Data de Nascimento]])</f>
        <v>1981</v>
      </c>
      <c r="N56" s="1">
        <v>1</v>
      </c>
    </row>
    <row r="57" spans="1:14">
      <c r="A57" s="1" t="s">
        <v>124</v>
      </c>
      <c r="B57" s="1" t="s">
        <v>8</v>
      </c>
      <c r="C57" s="3">
        <f t="shared" ca="1" si="1"/>
        <v>38</v>
      </c>
      <c r="D57" s="2">
        <v>31713</v>
      </c>
      <c r="E57" s="1" t="s">
        <v>128</v>
      </c>
      <c r="F57" s="1" t="s">
        <v>130</v>
      </c>
      <c r="G57" s="1" t="s">
        <v>15</v>
      </c>
      <c r="I57">
        <v>24</v>
      </c>
      <c r="J57" s="1" t="str">
        <f ca="1">IF(Tabela1[[#This Row],[Idade]]&lt;18, Tabela1[[#This Row],[Nome do Membro]], "")</f>
        <v/>
      </c>
      <c r="K57" s="1">
        <f t="shared" si="0"/>
        <v>28</v>
      </c>
      <c r="L57" s="1" t="str">
        <f>TEXT(Tabela1[[#This Row],[Data de Nascimento]],"MMM")</f>
        <v>out</v>
      </c>
      <c r="M57" s="1">
        <f>YEAR(Tabela1[[#This Row],[Data de Nascimento]])</f>
        <v>1986</v>
      </c>
      <c r="N57" s="1">
        <v>1</v>
      </c>
    </row>
    <row r="58" spans="1:14">
      <c r="A58" s="1" t="s">
        <v>125</v>
      </c>
      <c r="B58" s="1" t="s">
        <v>9</v>
      </c>
      <c r="C58" s="3">
        <f t="shared" ca="1" si="1"/>
        <v>31</v>
      </c>
      <c r="D58" s="2">
        <v>34179</v>
      </c>
      <c r="E58" s="1" t="s">
        <v>129</v>
      </c>
      <c r="F58" s="1" t="s">
        <v>130</v>
      </c>
      <c r="G58" s="1" t="s">
        <v>15</v>
      </c>
      <c r="I58">
        <v>24</v>
      </c>
      <c r="J58" s="1" t="str">
        <f ca="1">IF(Tabela1[[#This Row],[Idade]]&lt;18, Tabela1[[#This Row],[Nome do Membro]], "")</f>
        <v/>
      </c>
      <c r="K58" s="1">
        <f t="shared" si="0"/>
        <v>29</v>
      </c>
      <c r="L58" s="1" t="str">
        <f>TEXT(Tabela1[[#This Row],[Data de Nascimento]],"MMM")</f>
        <v>jul</v>
      </c>
      <c r="M58" s="1">
        <f>YEAR(Tabela1[[#This Row],[Data de Nascimento]])</f>
        <v>1993</v>
      </c>
      <c r="N58" s="1">
        <v>1</v>
      </c>
    </row>
    <row r="59" spans="1:14">
      <c r="A59" s="1" t="s">
        <v>126</v>
      </c>
      <c r="B59" s="1" t="s">
        <v>10</v>
      </c>
      <c r="C59" s="3">
        <f t="shared" ca="1" si="1"/>
        <v>12</v>
      </c>
      <c r="D59" s="2">
        <v>41212</v>
      </c>
      <c r="F59" s="1" t="s">
        <v>130</v>
      </c>
      <c r="G59" s="1" t="s">
        <v>15</v>
      </c>
      <c r="I59">
        <v>24</v>
      </c>
      <c r="J59" s="1" t="str">
        <f ca="1">IF(Tabela1[[#This Row],[Idade]]&lt;18, Tabela1[[#This Row],[Nome do Membro]], "")</f>
        <v xml:space="preserve">LEANDRA MORAES DE AZEVEDO         </v>
      </c>
      <c r="K59" s="1">
        <f t="shared" si="0"/>
        <v>30</v>
      </c>
      <c r="L59" s="1" t="str">
        <f>TEXT(Tabela1[[#This Row],[Data de Nascimento]],"MMM")</f>
        <v>out</v>
      </c>
      <c r="M59" s="1">
        <f>YEAR(Tabela1[[#This Row],[Data de Nascimento]])</f>
        <v>2012</v>
      </c>
      <c r="N59" s="1">
        <v>1</v>
      </c>
    </row>
    <row r="60" spans="1:14">
      <c r="A60" s="1" t="s">
        <v>127</v>
      </c>
      <c r="B60" s="1" t="s">
        <v>11</v>
      </c>
      <c r="C60" s="3">
        <f t="shared" ca="1" si="1"/>
        <v>7</v>
      </c>
      <c r="D60" s="2">
        <v>42858</v>
      </c>
      <c r="F60" s="1" t="s">
        <v>130</v>
      </c>
      <c r="G60" s="1" t="s">
        <v>15</v>
      </c>
      <c r="I60">
        <v>24</v>
      </c>
      <c r="J60" s="1" t="str">
        <f ca="1">IF(Tabela1[[#This Row],[Idade]]&lt;18, Tabela1[[#This Row],[Nome do Membro]], "")</f>
        <v xml:space="preserve">BENJAMIN MORAES DE ARAUJO           </v>
      </c>
      <c r="K60" s="1">
        <f t="shared" si="0"/>
        <v>3</v>
      </c>
      <c r="L60" s="1" t="str">
        <f>TEXT(Tabela1[[#This Row],[Data de Nascimento]],"MMM")</f>
        <v>mai</v>
      </c>
      <c r="M60" s="1">
        <f>YEAR(Tabela1[[#This Row],[Data de Nascimento]])</f>
        <v>2017</v>
      </c>
      <c r="N60" s="1">
        <v>1</v>
      </c>
    </row>
    <row r="61" spans="1:14">
      <c r="A61" s="1" t="s">
        <v>131</v>
      </c>
      <c r="B61" s="1" t="s">
        <v>134</v>
      </c>
      <c r="C61" s="3">
        <f t="shared" ca="1" si="1"/>
        <v>55</v>
      </c>
      <c r="D61" s="2">
        <v>25480</v>
      </c>
      <c r="E61" s="1" t="s">
        <v>135</v>
      </c>
      <c r="F61" s="1" t="s">
        <v>136</v>
      </c>
      <c r="G61" s="1" t="s">
        <v>15</v>
      </c>
      <c r="I61">
        <v>25</v>
      </c>
      <c r="J61" s="1" t="str">
        <f ca="1">IF(Tabela1[[#This Row],[Idade]]&lt;18, Tabela1[[#This Row],[Nome do Membro]], "")</f>
        <v/>
      </c>
      <c r="K61" s="1">
        <f t="shared" si="0"/>
        <v>4</v>
      </c>
      <c r="L61" s="1" t="str">
        <f>TEXT(Tabela1[[#This Row],[Data de Nascimento]],"MMM")</f>
        <v>out</v>
      </c>
      <c r="M61" s="1">
        <f>YEAR(Tabela1[[#This Row],[Data de Nascimento]])</f>
        <v>1969</v>
      </c>
      <c r="N61" s="1">
        <v>1</v>
      </c>
    </row>
    <row r="62" spans="1:14">
      <c r="A62" s="1" t="s">
        <v>132</v>
      </c>
      <c r="B62" s="1" t="s">
        <v>10</v>
      </c>
      <c r="C62" s="3">
        <f t="shared" ca="1" si="1"/>
        <v>32</v>
      </c>
      <c r="D62" s="2">
        <v>33847</v>
      </c>
      <c r="F62" s="1" t="s">
        <v>136</v>
      </c>
      <c r="G62" s="1" t="s">
        <v>15</v>
      </c>
      <c r="I62">
        <v>25</v>
      </c>
      <c r="J62" s="1" t="str">
        <f ca="1">IF(Tabela1[[#This Row],[Idade]]&lt;18, Tabela1[[#This Row],[Nome do Membro]], "")</f>
        <v/>
      </c>
      <c r="K62" s="1">
        <f t="shared" si="0"/>
        <v>31</v>
      </c>
      <c r="L62" s="1" t="str">
        <f>TEXT(Tabela1[[#This Row],[Data de Nascimento]],"MMM")</f>
        <v>ago</v>
      </c>
      <c r="M62" s="1">
        <f>YEAR(Tabela1[[#This Row],[Data de Nascimento]])</f>
        <v>1992</v>
      </c>
      <c r="N62" s="1">
        <v>1</v>
      </c>
    </row>
    <row r="63" spans="1:14">
      <c r="A63" s="1" t="s">
        <v>133</v>
      </c>
      <c r="B63" s="1" t="s">
        <v>11</v>
      </c>
      <c r="C63" s="3">
        <f t="shared" ca="1" si="1"/>
        <v>25</v>
      </c>
      <c r="D63" s="2">
        <v>36237</v>
      </c>
      <c r="F63" s="1" t="s">
        <v>136</v>
      </c>
      <c r="G63" s="1" t="s">
        <v>15</v>
      </c>
      <c r="I63">
        <v>25</v>
      </c>
      <c r="J63" s="1" t="str">
        <f ca="1">IF(Tabela1[[#This Row],[Idade]]&lt;18, Tabela1[[#This Row],[Nome do Membro]], "")</f>
        <v/>
      </c>
      <c r="K63" s="1">
        <f t="shared" si="0"/>
        <v>18</v>
      </c>
      <c r="L63" s="1" t="str">
        <f>TEXT(Tabela1[[#This Row],[Data de Nascimento]],"MMM")</f>
        <v>mar</v>
      </c>
      <c r="M63" s="1">
        <f>YEAR(Tabela1[[#This Row],[Data de Nascimento]])</f>
        <v>1999</v>
      </c>
      <c r="N63" s="1">
        <v>1</v>
      </c>
    </row>
    <row r="64" spans="1:14">
      <c r="A64" s="1" t="s">
        <v>132</v>
      </c>
      <c r="B64" s="1" t="s">
        <v>10</v>
      </c>
      <c r="C64" s="3">
        <f t="shared" ca="1" si="1"/>
        <v>32</v>
      </c>
      <c r="D64" s="2">
        <v>33847</v>
      </c>
      <c r="G64" s="1" t="s">
        <v>15</v>
      </c>
      <c r="I64">
        <v>26</v>
      </c>
      <c r="J64" s="1" t="str">
        <f ca="1">IF(Tabela1[[#This Row],[Idade]]&lt;18, Tabela1[[#This Row],[Nome do Membro]], "")</f>
        <v/>
      </c>
      <c r="K64" s="1">
        <f t="shared" si="0"/>
        <v>31</v>
      </c>
      <c r="L64" s="1" t="str">
        <f>TEXT(Tabela1[[#This Row],[Data de Nascimento]],"MMM")</f>
        <v>ago</v>
      </c>
      <c r="M64" s="1">
        <f>YEAR(Tabela1[[#This Row],[Data de Nascimento]])</f>
        <v>1992</v>
      </c>
      <c r="N64" s="1">
        <v>1</v>
      </c>
    </row>
    <row r="65" spans="1:14">
      <c r="A65" s="1" t="s">
        <v>137</v>
      </c>
      <c r="B65" s="1" t="s">
        <v>8</v>
      </c>
      <c r="C65" s="3">
        <f t="shared" ca="1" si="1"/>
        <v>50</v>
      </c>
      <c r="D65" s="2">
        <v>27323</v>
      </c>
      <c r="E65" s="1" t="s">
        <v>141</v>
      </c>
      <c r="F65" s="1" t="s">
        <v>143</v>
      </c>
      <c r="G65" s="1" t="s">
        <v>15</v>
      </c>
      <c r="I65">
        <v>27</v>
      </c>
      <c r="J65" s="1" t="str">
        <f ca="1">IF(Tabela1[[#This Row],[Idade]]&lt;18, Tabela1[[#This Row],[Nome do Membro]], "")</f>
        <v/>
      </c>
      <c r="K65" s="1">
        <f t="shared" ref="K65:K111" si="2">DAY(D65)</f>
        <v>21</v>
      </c>
      <c r="L65" s="1" t="str">
        <f>TEXT(Tabela1[[#This Row],[Data de Nascimento]],"MMM")</f>
        <v>out</v>
      </c>
      <c r="M65" s="1">
        <f>YEAR(Tabela1[[#This Row],[Data de Nascimento]])</f>
        <v>1974</v>
      </c>
      <c r="N65" s="1">
        <v>1</v>
      </c>
    </row>
    <row r="66" spans="1:14">
      <c r="A66" s="1" t="s">
        <v>138</v>
      </c>
      <c r="B66" s="1" t="s">
        <v>9</v>
      </c>
      <c r="C66" s="3">
        <f t="shared" ref="C66:C111" ca="1" si="3">INT((TODAY()-D66)/365.25)</f>
        <v>39</v>
      </c>
      <c r="D66" s="2">
        <v>31192</v>
      </c>
      <c r="E66" s="1" t="s">
        <v>142</v>
      </c>
      <c r="F66" s="1" t="s">
        <v>143</v>
      </c>
      <c r="G66" s="1" t="s">
        <v>15</v>
      </c>
      <c r="I66">
        <v>27</v>
      </c>
      <c r="J66" s="1" t="str">
        <f ca="1">IF(Tabela1[[#This Row],[Idade]]&lt;18, Tabela1[[#This Row],[Nome do Membro]], "")</f>
        <v/>
      </c>
      <c r="K66" s="1">
        <f t="shared" si="2"/>
        <v>25</v>
      </c>
      <c r="L66" s="1" t="str">
        <f>TEXT(Tabela1[[#This Row],[Data de Nascimento]],"MMM")</f>
        <v>mai</v>
      </c>
      <c r="M66" s="1">
        <f>YEAR(Tabela1[[#This Row],[Data de Nascimento]])</f>
        <v>1985</v>
      </c>
      <c r="N66" s="1">
        <v>1</v>
      </c>
    </row>
    <row r="67" spans="1:14">
      <c r="A67" s="1" t="s">
        <v>139</v>
      </c>
      <c r="B67" s="1" t="s">
        <v>11</v>
      </c>
      <c r="C67" s="3">
        <f t="shared" ca="1" si="3"/>
        <v>12</v>
      </c>
      <c r="D67" s="2">
        <v>41242</v>
      </c>
      <c r="F67" s="1" t="s">
        <v>143</v>
      </c>
      <c r="G67" s="1" t="s">
        <v>15</v>
      </c>
      <c r="I67">
        <v>27</v>
      </c>
      <c r="J67" s="1" t="str">
        <f ca="1">IF(Tabela1[[#This Row],[Idade]]&lt;18, Tabela1[[#This Row],[Nome do Membro]], "")</f>
        <v xml:space="preserve">GABRIEL PEREIRA DA SILVA                </v>
      </c>
      <c r="K67" s="1">
        <f t="shared" si="2"/>
        <v>29</v>
      </c>
      <c r="L67" s="1" t="str">
        <f>TEXT(Tabela1[[#This Row],[Data de Nascimento]],"MMM")</f>
        <v>nov</v>
      </c>
      <c r="M67" s="1">
        <f>YEAR(Tabela1[[#This Row],[Data de Nascimento]])</f>
        <v>2012</v>
      </c>
      <c r="N67" s="1">
        <v>1</v>
      </c>
    </row>
    <row r="68" spans="1:14">
      <c r="A68" s="1" t="s">
        <v>140</v>
      </c>
      <c r="B68" s="1" t="s">
        <v>11</v>
      </c>
      <c r="C68" s="3">
        <f t="shared" ca="1" si="3"/>
        <v>12</v>
      </c>
      <c r="D68" s="2">
        <v>41242</v>
      </c>
      <c r="F68" s="1" t="s">
        <v>143</v>
      </c>
      <c r="G68" s="1" t="s">
        <v>15</v>
      </c>
      <c r="I68">
        <v>27</v>
      </c>
      <c r="J68" s="1" t="str">
        <f ca="1">IF(Tabela1[[#This Row],[Idade]]&lt;18, Tabela1[[#This Row],[Nome do Membro]], "")</f>
        <v xml:space="preserve">GUSTAVO PEREIRA DA SILVA              </v>
      </c>
      <c r="K68" s="1">
        <f t="shared" si="2"/>
        <v>29</v>
      </c>
      <c r="L68" s="1" t="str">
        <f>TEXT(Tabela1[[#This Row],[Data de Nascimento]],"MMM")</f>
        <v>nov</v>
      </c>
      <c r="M68" s="1">
        <f>YEAR(Tabela1[[#This Row],[Data de Nascimento]])</f>
        <v>2012</v>
      </c>
      <c r="N68" s="1">
        <v>1</v>
      </c>
    </row>
    <row r="69" spans="1:14">
      <c r="A69" s="1" t="s">
        <v>144</v>
      </c>
      <c r="B69" s="1" t="s">
        <v>8</v>
      </c>
      <c r="C69" s="3">
        <f t="shared" ca="1" si="3"/>
        <v>56</v>
      </c>
      <c r="D69" s="2">
        <v>25063</v>
      </c>
      <c r="E69" s="1" t="s">
        <v>145</v>
      </c>
      <c r="F69" s="1" t="s">
        <v>146</v>
      </c>
      <c r="G69" s="1" t="s">
        <v>15</v>
      </c>
      <c r="I69">
        <v>28</v>
      </c>
      <c r="J69" s="1" t="str">
        <f ca="1">IF(Tabela1[[#This Row],[Idade]]&lt;18, Tabela1[[#This Row],[Nome do Membro]], "")</f>
        <v/>
      </c>
      <c r="K69" s="1">
        <f t="shared" si="2"/>
        <v>13</v>
      </c>
      <c r="L69" s="1" t="str">
        <f>TEXT(Tabela1[[#This Row],[Data de Nascimento]],"MMM")</f>
        <v>ago</v>
      </c>
      <c r="M69" s="1">
        <f>YEAR(Tabela1[[#This Row],[Data de Nascimento]])</f>
        <v>1968</v>
      </c>
      <c r="N69" s="1">
        <v>1</v>
      </c>
    </row>
    <row r="70" spans="1:14">
      <c r="A70" s="1" t="s">
        <v>147</v>
      </c>
      <c r="B70" s="1" t="s">
        <v>8</v>
      </c>
      <c r="C70" s="3">
        <f t="shared" ca="1" si="3"/>
        <v>54</v>
      </c>
      <c r="D70" s="2">
        <v>25812</v>
      </c>
      <c r="E70" s="1" t="s">
        <v>152</v>
      </c>
      <c r="F70" s="1" t="s">
        <v>154</v>
      </c>
      <c r="G70" s="1" t="s">
        <v>118</v>
      </c>
      <c r="I70">
        <v>29</v>
      </c>
      <c r="J70" s="1" t="str">
        <f ca="1">IF(Tabela1[[#This Row],[Idade]]&lt;18, Tabela1[[#This Row],[Nome do Membro]], "")</f>
        <v/>
      </c>
      <c r="K70" s="1">
        <f t="shared" si="2"/>
        <v>1</v>
      </c>
      <c r="L70" s="1" t="str">
        <f>TEXT(Tabela1[[#This Row],[Data de Nascimento]],"MMM")</f>
        <v>set</v>
      </c>
      <c r="M70" s="1">
        <f>YEAR(Tabela1[[#This Row],[Data de Nascimento]])</f>
        <v>1970</v>
      </c>
      <c r="N70" s="1">
        <v>1</v>
      </c>
    </row>
    <row r="71" spans="1:14">
      <c r="A71" s="1" t="s">
        <v>148</v>
      </c>
      <c r="B71" s="1" t="s">
        <v>9</v>
      </c>
      <c r="C71" s="3">
        <f t="shared" ca="1" si="3"/>
        <v>48</v>
      </c>
      <c r="D71" s="2">
        <v>28119</v>
      </c>
      <c r="E71" s="1" t="s">
        <v>153</v>
      </c>
      <c r="F71" s="1" t="s">
        <v>154</v>
      </c>
      <c r="G71" s="1" t="s">
        <v>118</v>
      </c>
      <c r="I71">
        <v>29</v>
      </c>
      <c r="J71" s="1" t="str">
        <f ca="1">IF(Tabela1[[#This Row],[Idade]]&lt;18, Tabela1[[#This Row],[Nome do Membro]], "")</f>
        <v/>
      </c>
      <c r="K71" s="1">
        <f t="shared" si="2"/>
        <v>25</v>
      </c>
      <c r="L71" s="1" t="str">
        <f>TEXT(Tabela1[[#This Row],[Data de Nascimento]],"MMM")</f>
        <v>dez</v>
      </c>
      <c r="M71" s="1">
        <f>YEAR(Tabela1[[#This Row],[Data de Nascimento]])</f>
        <v>1976</v>
      </c>
      <c r="N71" s="1">
        <v>1</v>
      </c>
    </row>
    <row r="72" spans="1:14">
      <c r="A72" s="1" t="s">
        <v>149</v>
      </c>
      <c r="B72" s="1" t="s">
        <v>10</v>
      </c>
      <c r="C72" s="3">
        <f t="shared" ca="1" si="3"/>
        <v>18</v>
      </c>
      <c r="D72" s="2">
        <v>38851</v>
      </c>
      <c r="F72" s="1" t="s">
        <v>154</v>
      </c>
      <c r="G72" s="1" t="s">
        <v>118</v>
      </c>
      <c r="I72">
        <v>29</v>
      </c>
      <c r="J72" s="1" t="str">
        <f ca="1">IF(Tabela1[[#This Row],[Idade]]&lt;18, Tabela1[[#This Row],[Nome do Membro]], "")</f>
        <v/>
      </c>
      <c r="K72" s="1">
        <f t="shared" si="2"/>
        <v>14</v>
      </c>
      <c r="L72" s="1" t="str">
        <f>TEXT(Tabela1[[#This Row],[Data de Nascimento]],"MMM")</f>
        <v>mai</v>
      </c>
      <c r="M72" s="1">
        <f>YEAR(Tabela1[[#This Row],[Data de Nascimento]])</f>
        <v>2006</v>
      </c>
      <c r="N72" s="1">
        <v>1</v>
      </c>
    </row>
    <row r="73" spans="1:14">
      <c r="A73" s="1" t="s">
        <v>150</v>
      </c>
      <c r="B73" s="1" t="s">
        <v>11</v>
      </c>
      <c r="C73" s="3">
        <f t="shared" ca="1" si="3"/>
        <v>15</v>
      </c>
      <c r="D73" s="2">
        <v>40049</v>
      </c>
      <c r="F73" s="1" t="s">
        <v>154</v>
      </c>
      <c r="G73" s="1" t="s">
        <v>118</v>
      </c>
      <c r="I73">
        <v>29</v>
      </c>
      <c r="J73" s="1" t="str">
        <f ca="1">IF(Tabela1[[#This Row],[Idade]]&lt;18, Tabela1[[#This Row],[Nome do Membro]], "")</f>
        <v xml:space="preserve">SAMUEL ANDRADE DA R. ALVES    </v>
      </c>
      <c r="K73" s="1">
        <f t="shared" si="2"/>
        <v>24</v>
      </c>
      <c r="L73" s="1" t="str">
        <f>TEXT(Tabela1[[#This Row],[Data de Nascimento]],"MMM")</f>
        <v>ago</v>
      </c>
      <c r="M73" s="1">
        <f>YEAR(Tabela1[[#This Row],[Data de Nascimento]])</f>
        <v>2009</v>
      </c>
      <c r="N73" s="1">
        <v>1</v>
      </c>
    </row>
    <row r="74" spans="1:14">
      <c r="A74" s="1" t="s">
        <v>151</v>
      </c>
      <c r="B74" s="1" t="s">
        <v>11</v>
      </c>
      <c r="C74" s="3">
        <f t="shared" ca="1" si="3"/>
        <v>9</v>
      </c>
      <c r="D74" s="2">
        <v>42103</v>
      </c>
      <c r="F74" s="1" t="s">
        <v>154</v>
      </c>
      <c r="G74" s="1" t="s">
        <v>118</v>
      </c>
      <c r="I74">
        <v>29</v>
      </c>
      <c r="J74" s="1" t="str">
        <f ca="1">IF(Tabela1[[#This Row],[Idade]]&lt;18, Tabela1[[#This Row],[Nome do Membro]], "")</f>
        <v xml:space="preserve">PEDRO ABNER ANDRADE DA R. ALVES </v>
      </c>
      <c r="K74" s="1">
        <f t="shared" si="2"/>
        <v>9</v>
      </c>
      <c r="L74" s="1" t="str">
        <f>TEXT(Tabela1[[#This Row],[Data de Nascimento]],"MMM")</f>
        <v>abr</v>
      </c>
      <c r="M74" s="1">
        <f>YEAR(Tabela1[[#This Row],[Data de Nascimento]])</f>
        <v>2015</v>
      </c>
      <c r="N74" s="1">
        <v>1</v>
      </c>
    </row>
    <row r="75" spans="1:14">
      <c r="A75" s="1" t="s">
        <v>155</v>
      </c>
      <c r="B75" s="1" t="s">
        <v>156</v>
      </c>
      <c r="C75" s="3">
        <f t="shared" ca="1" si="3"/>
        <v>35</v>
      </c>
      <c r="D75" s="2">
        <v>32645</v>
      </c>
      <c r="E75" s="1" t="s">
        <v>157</v>
      </c>
      <c r="F75" s="1" t="s">
        <v>158</v>
      </c>
      <c r="G75" s="1" t="s">
        <v>15</v>
      </c>
      <c r="I75">
        <v>30</v>
      </c>
      <c r="J75" s="1" t="str">
        <f ca="1">IF(Tabela1[[#This Row],[Idade]]&lt;18, Tabela1[[#This Row],[Nome do Membro]], "")</f>
        <v/>
      </c>
      <c r="K75" s="1">
        <f t="shared" si="2"/>
        <v>17</v>
      </c>
      <c r="L75" s="1" t="str">
        <f>TEXT(Tabela1[[#This Row],[Data de Nascimento]],"MMM")</f>
        <v>mai</v>
      </c>
      <c r="M75" s="1">
        <f>YEAR(Tabela1[[#This Row],[Data de Nascimento]])</f>
        <v>1989</v>
      </c>
      <c r="N75" s="1">
        <v>1</v>
      </c>
    </row>
    <row r="76" spans="1:14">
      <c r="A76" s="1" t="s">
        <v>159</v>
      </c>
      <c r="B76" s="1" t="s">
        <v>8</v>
      </c>
      <c r="C76" s="3">
        <f t="shared" ca="1" si="3"/>
        <v>42</v>
      </c>
      <c r="D76" s="2">
        <v>30365</v>
      </c>
      <c r="E76" s="1" t="s">
        <v>162</v>
      </c>
      <c r="F76" s="1" t="s">
        <v>164</v>
      </c>
      <c r="G76" s="1" t="s">
        <v>15</v>
      </c>
      <c r="I76">
        <v>31</v>
      </c>
      <c r="J76" s="1" t="str">
        <f ca="1">IF(Tabela1[[#This Row],[Idade]]&lt;18, Tabela1[[#This Row],[Nome do Membro]], "")</f>
        <v/>
      </c>
      <c r="K76" s="1">
        <f t="shared" si="2"/>
        <v>18</v>
      </c>
      <c r="L76" s="1" t="str">
        <f>TEXT(Tabela1[[#This Row],[Data de Nascimento]],"MMM")</f>
        <v>fev</v>
      </c>
      <c r="M76" s="1">
        <f>YEAR(Tabela1[[#This Row],[Data de Nascimento]])</f>
        <v>1983</v>
      </c>
      <c r="N76" s="1">
        <v>1</v>
      </c>
    </row>
    <row r="77" spans="1:14">
      <c r="A77" s="1" t="s">
        <v>160</v>
      </c>
      <c r="B77" s="1" t="s">
        <v>9</v>
      </c>
      <c r="C77" s="3">
        <f t="shared" ca="1" si="3"/>
        <v>40</v>
      </c>
      <c r="D77" s="2">
        <v>30762</v>
      </c>
      <c r="E77" s="1" t="s">
        <v>163</v>
      </c>
      <c r="F77" s="1" t="s">
        <v>164</v>
      </c>
      <c r="G77" s="1" t="s">
        <v>15</v>
      </c>
      <c r="I77">
        <v>31</v>
      </c>
      <c r="J77" s="1" t="str">
        <f ca="1">IF(Tabela1[[#This Row],[Idade]]&lt;18, Tabela1[[#This Row],[Nome do Membro]], "")</f>
        <v/>
      </c>
      <c r="K77" s="1">
        <f t="shared" si="2"/>
        <v>21</v>
      </c>
      <c r="L77" s="1" t="str">
        <f>TEXT(Tabela1[[#This Row],[Data de Nascimento]],"MMM")</f>
        <v>mar</v>
      </c>
      <c r="M77" s="1">
        <f>YEAR(Tabela1[[#This Row],[Data de Nascimento]])</f>
        <v>1984</v>
      </c>
      <c r="N77" s="1">
        <v>1</v>
      </c>
    </row>
    <row r="78" spans="1:14">
      <c r="A78" s="1" t="s">
        <v>161</v>
      </c>
      <c r="B78" s="1" t="s">
        <v>11</v>
      </c>
      <c r="C78" s="3">
        <f t="shared" ca="1" si="3"/>
        <v>19</v>
      </c>
      <c r="D78" s="2">
        <v>38480</v>
      </c>
      <c r="F78" s="1" t="s">
        <v>164</v>
      </c>
      <c r="G78" s="1" t="s">
        <v>15</v>
      </c>
      <c r="I78">
        <v>31</v>
      </c>
      <c r="J78" s="1" t="str">
        <f ca="1">IF(Tabela1[[#This Row],[Idade]]&lt;18, Tabela1[[#This Row],[Nome do Membro]], "")</f>
        <v/>
      </c>
      <c r="K78" s="1">
        <f t="shared" si="2"/>
        <v>8</v>
      </c>
      <c r="L78" s="1" t="str">
        <f>TEXT(Tabela1[[#This Row],[Data de Nascimento]],"MMM")</f>
        <v>mai</v>
      </c>
      <c r="M78" s="1">
        <f>YEAR(Tabela1[[#This Row],[Data de Nascimento]])</f>
        <v>2005</v>
      </c>
      <c r="N78" s="1">
        <v>1</v>
      </c>
    </row>
    <row r="79" spans="1:14">
      <c r="A79" s="1" t="s">
        <v>165</v>
      </c>
      <c r="B79" s="1" t="s">
        <v>8</v>
      </c>
      <c r="C79" s="3">
        <f t="shared" ca="1" si="3"/>
        <v>42</v>
      </c>
      <c r="D79" s="2">
        <v>30184</v>
      </c>
      <c r="E79" s="1" t="s">
        <v>169</v>
      </c>
      <c r="F79" s="1" t="s">
        <v>171</v>
      </c>
      <c r="G79" s="1" t="s">
        <v>15</v>
      </c>
      <c r="I79">
        <v>32</v>
      </c>
      <c r="J79" s="1" t="str">
        <f ca="1">IF(Tabela1[[#This Row],[Idade]]&lt;18, Tabela1[[#This Row],[Nome do Membro]], "")</f>
        <v/>
      </c>
      <c r="K79" s="1">
        <f t="shared" si="2"/>
        <v>21</v>
      </c>
      <c r="L79" s="1" t="str">
        <f>TEXT(Tabela1[[#This Row],[Data de Nascimento]],"MMM")</f>
        <v>ago</v>
      </c>
      <c r="M79" s="1">
        <f>YEAR(Tabela1[[#This Row],[Data de Nascimento]])</f>
        <v>1982</v>
      </c>
      <c r="N79" s="1">
        <v>1</v>
      </c>
    </row>
    <row r="80" spans="1:14">
      <c r="A80" s="1" t="s">
        <v>166</v>
      </c>
      <c r="B80" s="1" t="s">
        <v>9</v>
      </c>
      <c r="C80" s="3">
        <f t="shared" ca="1" si="3"/>
        <v>35</v>
      </c>
      <c r="D80" s="2">
        <v>32921</v>
      </c>
      <c r="E80" s="1" t="s">
        <v>170</v>
      </c>
      <c r="F80" s="1" t="s">
        <v>171</v>
      </c>
      <c r="G80" s="1" t="s">
        <v>15</v>
      </c>
      <c r="I80">
        <v>32</v>
      </c>
      <c r="J80" s="1" t="str">
        <f ca="1">IF(Tabela1[[#This Row],[Idade]]&lt;18, Tabela1[[#This Row],[Nome do Membro]], "")</f>
        <v/>
      </c>
      <c r="K80" s="1">
        <f t="shared" si="2"/>
        <v>17</v>
      </c>
      <c r="L80" s="1" t="str">
        <f>TEXT(Tabela1[[#This Row],[Data de Nascimento]],"MMM")</f>
        <v>fev</v>
      </c>
      <c r="M80" s="1">
        <f>YEAR(Tabela1[[#This Row],[Data de Nascimento]])</f>
        <v>1990</v>
      </c>
      <c r="N80" s="1">
        <v>1</v>
      </c>
    </row>
    <row r="81" spans="1:14">
      <c r="A81" s="1" t="s">
        <v>167</v>
      </c>
      <c r="B81" s="1" t="s">
        <v>11</v>
      </c>
      <c r="C81" s="3">
        <f t="shared" ca="1" si="3"/>
        <v>11</v>
      </c>
      <c r="D81" s="2">
        <v>41528</v>
      </c>
      <c r="F81" s="1" t="s">
        <v>171</v>
      </c>
      <c r="G81" s="1" t="s">
        <v>15</v>
      </c>
      <c r="I81">
        <v>32</v>
      </c>
      <c r="J81" s="1" t="str">
        <f ca="1">IF(Tabela1[[#This Row],[Idade]]&lt;18, Tabela1[[#This Row],[Nome do Membro]], "")</f>
        <v xml:space="preserve">DAVI BRAGA DE OLIVEIRA                    </v>
      </c>
      <c r="K81" s="1">
        <f t="shared" si="2"/>
        <v>11</v>
      </c>
      <c r="L81" s="1" t="str">
        <f>TEXT(Tabela1[[#This Row],[Data de Nascimento]],"MMM")</f>
        <v>set</v>
      </c>
      <c r="M81" s="1">
        <f>YEAR(Tabela1[[#This Row],[Data de Nascimento]])</f>
        <v>2013</v>
      </c>
      <c r="N81" s="1">
        <v>1</v>
      </c>
    </row>
    <row r="82" spans="1:14">
      <c r="A82" s="1" t="s">
        <v>168</v>
      </c>
      <c r="B82" s="1" t="s">
        <v>11</v>
      </c>
      <c r="C82" s="3">
        <f t="shared" ca="1" si="3"/>
        <v>4</v>
      </c>
      <c r="D82" s="2">
        <v>43995</v>
      </c>
      <c r="F82" s="1" t="s">
        <v>171</v>
      </c>
      <c r="G82" s="1" t="s">
        <v>15</v>
      </c>
      <c r="I82">
        <v>32</v>
      </c>
      <c r="J82" s="1" t="str">
        <f ca="1">IF(Tabela1[[#This Row],[Idade]]&lt;18, Tabela1[[#This Row],[Nome do Membro]], "")</f>
        <v xml:space="preserve">NATAN BRAGA DE OLIVEIRA                  </v>
      </c>
      <c r="K82" s="1">
        <f t="shared" si="2"/>
        <v>13</v>
      </c>
      <c r="L82" s="1" t="str">
        <f>TEXT(Tabela1[[#This Row],[Data de Nascimento]],"MMM")</f>
        <v>jun</v>
      </c>
      <c r="M82" s="1">
        <f>YEAR(Tabela1[[#This Row],[Data de Nascimento]])</f>
        <v>2020</v>
      </c>
      <c r="N82" s="1">
        <v>1</v>
      </c>
    </row>
    <row r="83" spans="1:14">
      <c r="A83" s="1" t="s">
        <v>172</v>
      </c>
      <c r="B83" s="1" t="s">
        <v>8</v>
      </c>
      <c r="C83" s="3">
        <f t="shared" ca="1" si="3"/>
        <v>39</v>
      </c>
      <c r="D83" s="2">
        <v>31176</v>
      </c>
      <c r="E83" s="1" t="s">
        <v>174</v>
      </c>
      <c r="F83" s="1" t="s">
        <v>176</v>
      </c>
      <c r="G83" s="1" t="s">
        <v>15</v>
      </c>
      <c r="I83">
        <v>33</v>
      </c>
      <c r="J83" s="1" t="str">
        <f ca="1">IF(Tabela1[[#This Row],[Idade]]&lt;18, Tabela1[[#This Row],[Nome do Membro]], "")</f>
        <v/>
      </c>
      <c r="K83" s="1">
        <f t="shared" si="2"/>
        <v>9</v>
      </c>
      <c r="L83" s="1" t="str">
        <f>TEXT(Tabela1[[#This Row],[Data de Nascimento]],"MMM")</f>
        <v>mai</v>
      </c>
      <c r="M83" s="1">
        <f>YEAR(Tabela1[[#This Row],[Data de Nascimento]])</f>
        <v>1985</v>
      </c>
      <c r="N83" s="1">
        <v>1</v>
      </c>
    </row>
    <row r="84" spans="1:14">
      <c r="A84" s="1" t="s">
        <v>173</v>
      </c>
      <c r="B84" s="1" t="s">
        <v>9</v>
      </c>
      <c r="C84" s="3">
        <f t="shared" ca="1" si="3"/>
        <v>40</v>
      </c>
      <c r="D84" s="2">
        <v>30933</v>
      </c>
      <c r="E84" s="1" t="s">
        <v>175</v>
      </c>
      <c r="F84" s="1" t="s">
        <v>176</v>
      </c>
      <c r="G84" s="1" t="s">
        <v>15</v>
      </c>
      <c r="I84">
        <v>33</v>
      </c>
      <c r="J84" s="1" t="str">
        <f ca="1">IF(Tabela1[[#This Row],[Idade]]&lt;18, Tabela1[[#This Row],[Nome do Membro]], "")</f>
        <v/>
      </c>
      <c r="K84" s="1">
        <f t="shared" si="2"/>
        <v>8</v>
      </c>
      <c r="L84" s="1" t="str">
        <f>TEXT(Tabela1[[#This Row],[Data de Nascimento]],"MMM")</f>
        <v>set</v>
      </c>
      <c r="M84" s="1">
        <f>YEAR(Tabela1[[#This Row],[Data de Nascimento]])</f>
        <v>1984</v>
      </c>
      <c r="N84" s="1">
        <v>1</v>
      </c>
    </row>
    <row r="85" spans="1:14">
      <c r="A85" s="1" t="s">
        <v>177</v>
      </c>
      <c r="B85" s="1" t="s">
        <v>10</v>
      </c>
      <c r="C85" s="3">
        <f t="shared" ca="1" si="3"/>
        <v>19</v>
      </c>
      <c r="D85" s="2">
        <v>38775</v>
      </c>
      <c r="F85" s="1" t="s">
        <v>176</v>
      </c>
      <c r="G85" s="1" t="s">
        <v>15</v>
      </c>
      <c r="I85">
        <v>33</v>
      </c>
      <c r="J85" s="1" t="str">
        <f ca="1">IF(Tabela1[[#This Row],[Idade]]&lt;18, Tabela1[[#This Row],[Nome do Membro]], "")</f>
        <v/>
      </c>
      <c r="K85" s="1">
        <f t="shared" si="2"/>
        <v>27</v>
      </c>
      <c r="L85" s="1" t="str">
        <f>TEXT(Tabela1[[#This Row],[Data de Nascimento]],"MMM")</f>
        <v>fev</v>
      </c>
      <c r="M85" s="1">
        <f>YEAR(Tabela1[[#This Row],[Data de Nascimento]])</f>
        <v>2006</v>
      </c>
      <c r="N85" s="1">
        <v>1</v>
      </c>
    </row>
    <row r="86" spans="1:14">
      <c r="A86" s="1" t="s">
        <v>178</v>
      </c>
      <c r="B86" s="1" t="s">
        <v>11</v>
      </c>
      <c r="C86" s="3">
        <f t="shared" ca="1" si="3"/>
        <v>10</v>
      </c>
      <c r="D86" s="2">
        <v>42053</v>
      </c>
      <c r="F86" s="1" t="s">
        <v>176</v>
      </c>
      <c r="G86" s="1" t="s">
        <v>15</v>
      </c>
      <c r="I86">
        <v>33</v>
      </c>
      <c r="J86" s="1" t="str">
        <f ca="1">IF(Tabela1[[#This Row],[Idade]]&lt;18, Tabela1[[#This Row],[Nome do Membro]], "")</f>
        <v>JOÃO</v>
      </c>
      <c r="K86" s="1">
        <f t="shared" si="2"/>
        <v>18</v>
      </c>
      <c r="L86" s="1" t="str">
        <f>TEXT(Tabela1[[#This Row],[Data de Nascimento]],"MMM")</f>
        <v>fev</v>
      </c>
      <c r="M86" s="1">
        <f>YEAR(Tabela1[[#This Row],[Data de Nascimento]])</f>
        <v>2015</v>
      </c>
      <c r="N86" s="1">
        <v>1</v>
      </c>
    </row>
    <row r="87" spans="1:14">
      <c r="A87" s="1" t="s">
        <v>182</v>
      </c>
      <c r="B87" s="1" t="s">
        <v>8</v>
      </c>
      <c r="C87" s="3">
        <f t="shared" ca="1" si="3"/>
        <v>40</v>
      </c>
      <c r="D87" s="2">
        <v>30917</v>
      </c>
      <c r="E87" t="s">
        <v>190</v>
      </c>
      <c r="F87" s="1" t="s">
        <v>186</v>
      </c>
      <c r="G87" s="1" t="s">
        <v>15</v>
      </c>
      <c r="I87">
        <v>34</v>
      </c>
      <c r="J87" s="1" t="str">
        <f ca="1">IF(Tabela1[[#This Row],[Idade]]&lt;18, Tabela1[[#This Row],[Nome do Membro]], "")</f>
        <v/>
      </c>
      <c r="K87" s="1">
        <f t="shared" si="2"/>
        <v>23</v>
      </c>
      <c r="L87" s="1" t="str">
        <f>TEXT(Tabela1[[#This Row],[Data de Nascimento]],"MMM")</f>
        <v>ago</v>
      </c>
      <c r="M87" s="1">
        <f>YEAR(Tabela1[[#This Row],[Data de Nascimento]])</f>
        <v>1984</v>
      </c>
      <c r="N87" s="1">
        <v>1</v>
      </c>
    </row>
    <row r="88" spans="1:14">
      <c r="A88" s="1" t="s">
        <v>183</v>
      </c>
      <c r="B88" s="1" t="s">
        <v>9</v>
      </c>
      <c r="C88" s="3">
        <f t="shared" ca="1" si="3"/>
        <v>38</v>
      </c>
      <c r="D88" s="2">
        <v>31767</v>
      </c>
      <c r="E88" t="s">
        <v>191</v>
      </c>
      <c r="F88" s="1" t="s">
        <v>187</v>
      </c>
      <c r="G88" s="1" t="s">
        <v>15</v>
      </c>
      <c r="I88">
        <v>34</v>
      </c>
      <c r="J88" s="1" t="str">
        <f ca="1">IF(Tabela1[[#This Row],[Idade]]&lt;18, Tabela1[[#This Row],[Nome do Membro]], "")</f>
        <v/>
      </c>
      <c r="K88" s="1">
        <f t="shared" si="2"/>
        <v>21</v>
      </c>
      <c r="L88" s="1" t="str">
        <f>TEXT(Tabela1[[#This Row],[Data de Nascimento]],"MMM")</f>
        <v>dez</v>
      </c>
      <c r="M88" s="1">
        <f>YEAR(Tabela1[[#This Row],[Data de Nascimento]])</f>
        <v>1986</v>
      </c>
      <c r="N88" s="1">
        <v>1</v>
      </c>
    </row>
    <row r="89" spans="1:14">
      <c r="A89" s="1" t="s">
        <v>184</v>
      </c>
      <c r="B89" s="1" t="s">
        <v>11</v>
      </c>
      <c r="C89" s="3">
        <f t="shared" ca="1" si="3"/>
        <v>16</v>
      </c>
      <c r="D89" s="2">
        <v>39591</v>
      </c>
      <c r="F89" s="1" t="s">
        <v>188</v>
      </c>
      <c r="G89" s="1" t="s">
        <v>15</v>
      </c>
      <c r="I89">
        <v>34</v>
      </c>
      <c r="J89" s="1" t="str">
        <f ca="1">IF(Tabela1[[#This Row],[Idade]]&lt;18, Tabela1[[#This Row],[Nome do Membro]], "")</f>
        <v>YGOR COSTA ABREU</v>
      </c>
      <c r="K89" s="1">
        <f t="shared" si="2"/>
        <v>23</v>
      </c>
      <c r="L89" s="1" t="str">
        <f>TEXT(Tabela1[[#This Row],[Data de Nascimento]],"MMM")</f>
        <v>mai</v>
      </c>
      <c r="M89" s="1">
        <f>YEAR(Tabela1[[#This Row],[Data de Nascimento]])</f>
        <v>2008</v>
      </c>
      <c r="N89" s="1">
        <v>1</v>
      </c>
    </row>
    <row r="90" spans="1:14">
      <c r="A90" s="1" t="s">
        <v>185</v>
      </c>
      <c r="B90" s="1" t="s">
        <v>11</v>
      </c>
      <c r="C90" s="3">
        <f t="shared" ca="1" si="3"/>
        <v>19</v>
      </c>
      <c r="D90" s="2">
        <v>38696</v>
      </c>
      <c r="F90" s="1" t="s">
        <v>189</v>
      </c>
      <c r="G90" s="1" t="s">
        <v>15</v>
      </c>
      <c r="I90">
        <v>34</v>
      </c>
      <c r="J90" s="1" t="str">
        <f ca="1">IF(Tabela1[[#This Row],[Idade]]&lt;18, Tabela1[[#This Row],[Nome do Membro]], "")</f>
        <v/>
      </c>
      <c r="K90" s="1">
        <f t="shared" si="2"/>
        <v>10</v>
      </c>
      <c r="L90" s="1" t="str">
        <f>TEXT(Tabela1[[#This Row],[Data de Nascimento]],"MMM")</f>
        <v>dez</v>
      </c>
      <c r="M90" s="1">
        <f>YEAR(Tabela1[[#This Row],[Data de Nascimento]])</f>
        <v>2005</v>
      </c>
      <c r="N90" s="1">
        <v>1</v>
      </c>
    </row>
    <row r="91" spans="1:14">
      <c r="A91" s="1" t="s">
        <v>179</v>
      </c>
      <c r="B91" s="1" t="s">
        <v>8</v>
      </c>
      <c r="C91" s="3">
        <f t="shared" ca="1" si="3"/>
        <v>42</v>
      </c>
      <c r="D91" s="2">
        <v>30042</v>
      </c>
      <c r="E91" s="1" t="s">
        <v>192</v>
      </c>
      <c r="F91" s="1" t="s">
        <v>194</v>
      </c>
      <c r="G91" s="1" t="s">
        <v>15</v>
      </c>
      <c r="I91">
        <v>35</v>
      </c>
      <c r="J91" s="1" t="str">
        <f ca="1">IF(Tabela1[[#This Row],[Idade]]&lt;18, Tabela1[[#This Row],[Nome do Membro]], "")</f>
        <v/>
      </c>
      <c r="K91" s="1">
        <f t="shared" si="2"/>
        <v>1</v>
      </c>
      <c r="L91" s="1" t="str">
        <f>TEXT(Tabela1[[#This Row],[Data de Nascimento]],"MMM")</f>
        <v>abr</v>
      </c>
      <c r="M91" s="1">
        <f>YEAR(Tabela1[[#This Row],[Data de Nascimento]])</f>
        <v>1982</v>
      </c>
      <c r="N91" s="1">
        <v>1</v>
      </c>
    </row>
    <row r="92" spans="1:14">
      <c r="A92" s="1" t="s">
        <v>180</v>
      </c>
      <c r="B92" s="1" t="s">
        <v>9</v>
      </c>
      <c r="C92" s="3">
        <f t="shared" ca="1" si="3"/>
        <v>37</v>
      </c>
      <c r="D92" s="2">
        <v>32175</v>
      </c>
      <c r="E92" s="1" t="s">
        <v>193</v>
      </c>
      <c r="F92" s="1" t="s">
        <v>194</v>
      </c>
      <c r="G92" s="1" t="s">
        <v>15</v>
      </c>
      <c r="I92">
        <v>35</v>
      </c>
      <c r="J92" s="1" t="str">
        <f ca="1">IF(Tabela1[[#This Row],[Idade]]&lt;18, Tabela1[[#This Row],[Nome do Membro]], "")</f>
        <v/>
      </c>
      <c r="K92" s="1">
        <f t="shared" si="2"/>
        <v>2</v>
      </c>
      <c r="L92" s="1" t="str">
        <f>TEXT(Tabela1[[#This Row],[Data de Nascimento]],"MMM")</f>
        <v>fev</v>
      </c>
      <c r="M92" s="1">
        <f>YEAR(Tabela1[[#This Row],[Data de Nascimento]])</f>
        <v>1988</v>
      </c>
      <c r="N92" s="1">
        <v>1</v>
      </c>
    </row>
    <row r="93" spans="1:14">
      <c r="A93" s="1" t="s">
        <v>181</v>
      </c>
      <c r="B93" s="1" t="s">
        <v>11</v>
      </c>
      <c r="C93" s="3">
        <f t="shared" ca="1" si="3"/>
        <v>11</v>
      </c>
      <c r="D93" s="2">
        <v>41372</v>
      </c>
      <c r="F93" s="1" t="s">
        <v>194</v>
      </c>
      <c r="G93" s="1" t="s">
        <v>15</v>
      </c>
      <c r="I93">
        <v>35</v>
      </c>
      <c r="J93" s="1" t="str">
        <f ca="1">IF(Tabela1[[#This Row],[Idade]]&lt;18, Tabela1[[#This Row],[Nome do Membro]], "")</f>
        <v>SAMUEL FERREIRA PACHECO</v>
      </c>
      <c r="K93" s="1">
        <f t="shared" si="2"/>
        <v>8</v>
      </c>
      <c r="L93" s="1" t="str">
        <f>TEXT(Tabela1[[#This Row],[Data de Nascimento]],"MMM")</f>
        <v>abr</v>
      </c>
      <c r="M93" s="1">
        <f>YEAR(Tabela1[[#This Row],[Data de Nascimento]])</f>
        <v>2013</v>
      </c>
      <c r="N93" s="1">
        <v>1</v>
      </c>
    </row>
    <row r="94" spans="1:14">
      <c r="A94" s="1" t="s">
        <v>195</v>
      </c>
      <c r="B94" s="1" t="s">
        <v>8</v>
      </c>
      <c r="C94" s="3">
        <f t="shared" ca="1" si="3"/>
        <v>125</v>
      </c>
      <c r="D94" s="4"/>
      <c r="E94" s="1" t="s">
        <v>199</v>
      </c>
      <c r="F94" s="1" t="s">
        <v>88</v>
      </c>
      <c r="G94" s="1" t="s">
        <v>15</v>
      </c>
      <c r="I94">
        <v>36</v>
      </c>
      <c r="J94" s="1" t="str">
        <f ca="1">IF(Tabela1[[#This Row],[Idade]]&lt;18, Tabela1[[#This Row],[Nome do Membro]], "")</f>
        <v/>
      </c>
      <c r="K94" s="1">
        <f t="shared" si="2"/>
        <v>0</v>
      </c>
      <c r="L94" s="1" t="str">
        <f>TEXT(Tabela1[[#This Row],[Data de Nascimento]],"MMM")</f>
        <v>jan</v>
      </c>
      <c r="M94" s="1">
        <f>YEAR(Tabela1[[#This Row],[Data de Nascimento]])</f>
        <v>1900</v>
      </c>
      <c r="N94" s="1">
        <v>1</v>
      </c>
    </row>
    <row r="95" spans="1:14">
      <c r="A95" s="1" t="s">
        <v>196</v>
      </c>
      <c r="B95" s="1" t="s">
        <v>9</v>
      </c>
      <c r="C95" s="3">
        <f t="shared" ca="1" si="3"/>
        <v>125</v>
      </c>
      <c r="D95" s="4"/>
      <c r="E95" s="1" t="s">
        <v>200</v>
      </c>
      <c r="F95" s="1" t="s">
        <v>88</v>
      </c>
      <c r="G95" s="1" t="s">
        <v>15</v>
      </c>
      <c r="I95">
        <v>36</v>
      </c>
      <c r="J95" s="1" t="str">
        <f ca="1">IF(Tabela1[[#This Row],[Idade]]&lt;18, Tabela1[[#This Row],[Nome do Membro]], "")</f>
        <v/>
      </c>
      <c r="K95" s="1">
        <f t="shared" si="2"/>
        <v>0</v>
      </c>
      <c r="L95" s="1" t="str">
        <f>TEXT(Tabela1[[#This Row],[Data de Nascimento]],"MMM")</f>
        <v>jan</v>
      </c>
      <c r="M95" s="1">
        <f>YEAR(Tabela1[[#This Row],[Data de Nascimento]])</f>
        <v>1900</v>
      </c>
      <c r="N95" s="1">
        <v>1</v>
      </c>
    </row>
    <row r="96" spans="1:14">
      <c r="A96" s="1" t="s">
        <v>197</v>
      </c>
      <c r="B96" s="1" t="s">
        <v>11</v>
      </c>
      <c r="C96" s="3">
        <f t="shared" ca="1" si="3"/>
        <v>4</v>
      </c>
      <c r="D96" s="2">
        <v>43954</v>
      </c>
      <c r="F96" s="1" t="s">
        <v>88</v>
      </c>
      <c r="G96" s="1" t="s">
        <v>15</v>
      </c>
      <c r="I96">
        <v>36</v>
      </c>
      <c r="J96" s="1" t="str">
        <f ca="1">IF(Tabela1[[#This Row],[Idade]]&lt;18, Tabela1[[#This Row],[Nome do Membro]], "")</f>
        <v xml:space="preserve">OTTO BUARQUE M. RODRIGUES    </v>
      </c>
      <c r="K96" s="1">
        <f t="shared" si="2"/>
        <v>3</v>
      </c>
      <c r="L96" s="1" t="str">
        <f>TEXT(Tabela1[[#This Row],[Data de Nascimento]],"MMM")</f>
        <v>mai</v>
      </c>
      <c r="M96" s="1">
        <f>YEAR(Tabela1[[#This Row],[Data de Nascimento]])</f>
        <v>2020</v>
      </c>
      <c r="N96" s="1">
        <v>1</v>
      </c>
    </row>
    <row r="97" spans="1:14">
      <c r="A97" s="1" t="s">
        <v>198</v>
      </c>
      <c r="B97" s="1" t="s">
        <v>11</v>
      </c>
      <c r="C97" s="3">
        <f t="shared" ca="1" si="3"/>
        <v>1</v>
      </c>
      <c r="D97" s="2">
        <v>45090</v>
      </c>
      <c r="F97" s="1" t="s">
        <v>88</v>
      </c>
      <c r="G97" s="1" t="s">
        <v>15</v>
      </c>
      <c r="I97">
        <v>36</v>
      </c>
      <c r="J97" s="1" t="str">
        <f ca="1">IF(Tabela1[[#This Row],[Idade]]&lt;18, Tabela1[[#This Row],[Nome do Membro]], "")</f>
        <v>JOAQUIM BUARQUE M. RODRIGUES</v>
      </c>
      <c r="K97" s="1">
        <f t="shared" si="2"/>
        <v>13</v>
      </c>
      <c r="L97" s="1" t="str">
        <f>TEXT(Tabela1[[#This Row],[Data de Nascimento]],"MMM")</f>
        <v>jun</v>
      </c>
      <c r="M97" s="1">
        <f>YEAR(Tabela1[[#This Row],[Data de Nascimento]])</f>
        <v>2023</v>
      </c>
      <c r="N97" s="1">
        <v>1</v>
      </c>
    </row>
    <row r="98" spans="1:14">
      <c r="A98" s="1" t="s">
        <v>201</v>
      </c>
      <c r="B98" s="1" t="s">
        <v>8</v>
      </c>
      <c r="C98" s="3">
        <f t="shared" ca="1" si="3"/>
        <v>125</v>
      </c>
      <c r="D98" s="1"/>
      <c r="E98" s="1" t="s">
        <v>203</v>
      </c>
      <c r="F98" s="1" t="s">
        <v>205</v>
      </c>
      <c r="G98" s="1" t="s">
        <v>15</v>
      </c>
      <c r="I98">
        <v>36</v>
      </c>
      <c r="J98" s="1" t="str">
        <f ca="1">IF(Tabela1[[#This Row],[Idade]]&lt;18, Tabela1[[#This Row],[Nome do Membro]], "")</f>
        <v/>
      </c>
      <c r="K98" s="1">
        <f t="shared" si="2"/>
        <v>0</v>
      </c>
      <c r="L98" s="1" t="str">
        <f>TEXT(Tabela1[[#This Row],[Data de Nascimento]],"MMM")</f>
        <v>jan</v>
      </c>
      <c r="M98" s="1">
        <f>YEAR(Tabela1[[#This Row],[Data de Nascimento]])</f>
        <v>1900</v>
      </c>
      <c r="N98" s="1">
        <v>1</v>
      </c>
    </row>
    <row r="99" spans="1:14">
      <c r="A99" s="1" t="s">
        <v>202</v>
      </c>
      <c r="B99" s="1" t="s">
        <v>9</v>
      </c>
      <c r="C99" s="3">
        <f t="shared" ca="1" si="3"/>
        <v>125</v>
      </c>
      <c r="D99" s="1"/>
      <c r="E99" s="1" t="s">
        <v>204</v>
      </c>
      <c r="F99" s="1" t="s">
        <v>205</v>
      </c>
      <c r="G99" s="1" t="s">
        <v>15</v>
      </c>
      <c r="I99">
        <v>36</v>
      </c>
      <c r="J99" s="1" t="str">
        <f ca="1">IF(Tabela1[[#This Row],[Idade]]&lt;18, Tabela1[[#This Row],[Nome do Membro]], "")</f>
        <v/>
      </c>
      <c r="K99" s="1">
        <f t="shared" si="2"/>
        <v>0</v>
      </c>
      <c r="L99" s="1" t="str">
        <f>TEXT(Tabela1[[#This Row],[Data de Nascimento]],"MMM")</f>
        <v>jan</v>
      </c>
      <c r="M99" s="1">
        <f>YEAR(Tabela1[[#This Row],[Data de Nascimento]])</f>
        <v>1900</v>
      </c>
      <c r="N99" s="1">
        <v>1</v>
      </c>
    </row>
    <row r="100" spans="1:14">
      <c r="A100" s="1" t="s">
        <v>206</v>
      </c>
      <c r="B100" s="1" t="s">
        <v>9</v>
      </c>
      <c r="C100" s="3">
        <f t="shared" ca="1" si="3"/>
        <v>52</v>
      </c>
      <c r="D100" s="2">
        <v>26724</v>
      </c>
      <c r="E100" s="1" t="s">
        <v>208</v>
      </c>
      <c r="F100" s="1" t="s">
        <v>209</v>
      </c>
      <c r="G100" s="1" t="s">
        <v>15</v>
      </c>
      <c r="I100">
        <v>37</v>
      </c>
      <c r="J100" s="1" t="str">
        <f ca="1">IF(Tabela1[[#This Row],[Idade]]&lt;18, Tabela1[[#This Row],[Nome do Membro]], "")</f>
        <v/>
      </c>
      <c r="K100" s="1">
        <f t="shared" si="2"/>
        <v>1</v>
      </c>
      <c r="L100" s="1" t="str">
        <f>TEXT(Tabela1[[#This Row],[Data de Nascimento]],"MMM")</f>
        <v>mar</v>
      </c>
      <c r="M100" s="1">
        <f>YEAR(Tabela1[[#This Row],[Data de Nascimento]])</f>
        <v>1973</v>
      </c>
      <c r="N100" s="1">
        <v>1</v>
      </c>
    </row>
    <row r="101" spans="1:14">
      <c r="A101" s="1" t="s">
        <v>207</v>
      </c>
      <c r="B101" s="1" t="s">
        <v>11</v>
      </c>
      <c r="C101" s="3">
        <f t="shared" ca="1" si="3"/>
        <v>20</v>
      </c>
      <c r="D101" s="2">
        <v>38160</v>
      </c>
      <c r="F101" s="1" t="s">
        <v>209</v>
      </c>
      <c r="G101" s="1" t="s">
        <v>15</v>
      </c>
      <c r="I101">
        <v>37</v>
      </c>
      <c r="J101" s="1" t="str">
        <f ca="1">IF(Tabela1[[#This Row],[Idade]]&lt;18, Tabela1[[#This Row],[Nome do Membro]], "")</f>
        <v/>
      </c>
      <c r="K101" s="1">
        <f t="shared" si="2"/>
        <v>22</v>
      </c>
      <c r="L101" s="1" t="str">
        <f>TEXT(Tabela1[[#This Row],[Data de Nascimento]],"MMM")</f>
        <v>jun</v>
      </c>
      <c r="M101" s="1">
        <f>YEAR(Tabela1[[#This Row],[Data de Nascimento]])</f>
        <v>2004</v>
      </c>
      <c r="N101" s="1">
        <v>1</v>
      </c>
    </row>
    <row r="102" spans="1:14">
      <c r="A102" s="1" t="s">
        <v>210</v>
      </c>
      <c r="B102" s="1" t="s">
        <v>156</v>
      </c>
      <c r="C102" s="3">
        <f t="shared" ca="1" si="3"/>
        <v>46</v>
      </c>
      <c r="D102" s="2">
        <v>28602</v>
      </c>
      <c r="E102" s="1" t="s">
        <v>213</v>
      </c>
      <c r="F102" s="1" t="s">
        <v>214</v>
      </c>
      <c r="G102" s="1" t="s">
        <v>15</v>
      </c>
      <c r="I102">
        <v>38</v>
      </c>
      <c r="J102" s="1" t="str">
        <f ca="1">IF(Tabela1[[#This Row],[Idade]]&lt;18, Tabela1[[#This Row],[Nome do Membro]], "")</f>
        <v/>
      </c>
      <c r="K102" s="1">
        <f t="shared" si="2"/>
        <v>22</v>
      </c>
      <c r="L102" s="1" t="str">
        <f>TEXT(Tabela1[[#This Row],[Data de Nascimento]],"MMM")</f>
        <v>abr</v>
      </c>
      <c r="M102" s="1">
        <f>YEAR(Tabela1[[#This Row],[Data de Nascimento]])</f>
        <v>1978</v>
      </c>
      <c r="N102" s="1">
        <v>1</v>
      </c>
    </row>
    <row r="103" spans="1:14">
      <c r="A103" s="1" t="s">
        <v>211</v>
      </c>
      <c r="B103" s="1" t="s">
        <v>10</v>
      </c>
      <c r="C103" s="3">
        <f t="shared" ca="1" si="3"/>
        <v>30</v>
      </c>
      <c r="D103" s="2">
        <v>34547</v>
      </c>
      <c r="F103" s="1" t="s">
        <v>214</v>
      </c>
      <c r="G103" s="1" t="s">
        <v>15</v>
      </c>
      <c r="I103">
        <v>38</v>
      </c>
      <c r="J103" s="1" t="str">
        <f ca="1">IF(Tabela1[[#This Row],[Idade]]&lt;18, Tabela1[[#This Row],[Nome do Membro]], "")</f>
        <v/>
      </c>
      <c r="K103" s="1">
        <f t="shared" si="2"/>
        <v>1</v>
      </c>
      <c r="L103" s="1" t="str">
        <f>TEXT(Tabela1[[#This Row],[Data de Nascimento]],"MMM")</f>
        <v>ago</v>
      </c>
      <c r="M103" s="1">
        <f>YEAR(Tabela1[[#This Row],[Data de Nascimento]])</f>
        <v>1994</v>
      </c>
      <c r="N103" s="1">
        <v>1</v>
      </c>
    </row>
    <row r="104" spans="1:14">
      <c r="A104" s="1" t="s">
        <v>212</v>
      </c>
      <c r="B104" s="1" t="s">
        <v>11</v>
      </c>
      <c r="C104" s="3">
        <f t="shared" ca="1" si="3"/>
        <v>2</v>
      </c>
      <c r="D104" s="2">
        <v>44630</v>
      </c>
      <c r="F104" s="1" t="s">
        <v>214</v>
      </c>
      <c r="G104" s="1" t="s">
        <v>15</v>
      </c>
      <c r="I104">
        <v>38</v>
      </c>
      <c r="J104" s="1" t="str">
        <f ca="1">IF(Tabela1[[#This Row],[Idade]]&lt;18, Tabela1[[#This Row],[Nome do Membro]], "")</f>
        <v xml:space="preserve">BENICIO RAVI MENDES VAZ </v>
      </c>
      <c r="K104" s="1">
        <f t="shared" si="2"/>
        <v>10</v>
      </c>
      <c r="L104" s="1" t="str">
        <f>TEXT(Tabela1[[#This Row],[Data de Nascimento]],"MMM")</f>
        <v>mar</v>
      </c>
      <c r="M104" s="1">
        <f>YEAR(Tabela1[[#This Row],[Data de Nascimento]])</f>
        <v>2022</v>
      </c>
      <c r="N104" s="1">
        <v>1</v>
      </c>
    </row>
    <row r="105" spans="1:14">
      <c r="A105" s="1" t="s">
        <v>215</v>
      </c>
      <c r="B105" s="1" t="s">
        <v>8</v>
      </c>
      <c r="C105" s="3">
        <f t="shared" ca="1" si="3"/>
        <v>29</v>
      </c>
      <c r="D105" s="2">
        <v>34789</v>
      </c>
      <c r="E105" s="1" t="s">
        <v>219</v>
      </c>
      <c r="G105" s="1" t="s">
        <v>15</v>
      </c>
      <c r="I105">
        <v>39</v>
      </c>
      <c r="J105" s="1" t="str">
        <f ca="1">IF(Tabela1[[#This Row],[Idade]]&lt;18, Tabela1[[#This Row],[Nome do Membro]], "")</f>
        <v/>
      </c>
      <c r="K105" s="1">
        <f t="shared" si="2"/>
        <v>31</v>
      </c>
      <c r="L105" s="1" t="str">
        <f>TEXT(Tabela1[[#This Row],[Data de Nascimento]],"MMM")</f>
        <v>mar</v>
      </c>
      <c r="M105" s="1">
        <f>YEAR(Tabela1[[#This Row],[Data de Nascimento]])</f>
        <v>1995</v>
      </c>
      <c r="N105" s="1">
        <v>1</v>
      </c>
    </row>
    <row r="106" spans="1:14">
      <c r="A106" s="1" t="s">
        <v>216</v>
      </c>
      <c r="B106" s="1" t="s">
        <v>9</v>
      </c>
      <c r="C106" s="3">
        <f t="shared" ca="1" si="3"/>
        <v>30</v>
      </c>
      <c r="D106" s="2">
        <v>34713</v>
      </c>
      <c r="E106" s="1" t="s">
        <v>220</v>
      </c>
      <c r="G106" s="1" t="s">
        <v>15</v>
      </c>
      <c r="I106">
        <v>39</v>
      </c>
      <c r="J106" s="1" t="str">
        <f ca="1">IF(Tabela1[[#This Row],[Idade]]&lt;18, Tabela1[[#This Row],[Nome do Membro]], "")</f>
        <v/>
      </c>
      <c r="K106" s="1">
        <f t="shared" si="2"/>
        <v>14</v>
      </c>
      <c r="L106" s="1" t="str">
        <f>TEXT(Tabela1[[#This Row],[Data de Nascimento]],"MMM")</f>
        <v>jan</v>
      </c>
      <c r="M106" s="1">
        <f>YEAR(Tabela1[[#This Row],[Data de Nascimento]])</f>
        <v>1995</v>
      </c>
      <c r="N106" s="1">
        <v>1</v>
      </c>
    </row>
    <row r="107" spans="1:14">
      <c r="A107" s="1" t="s">
        <v>217</v>
      </c>
      <c r="B107" s="1" t="s">
        <v>10</v>
      </c>
      <c r="C107" s="3">
        <f t="shared" ca="1" si="3"/>
        <v>9</v>
      </c>
      <c r="D107" s="2">
        <v>42292</v>
      </c>
      <c r="G107" s="1" t="s">
        <v>15</v>
      </c>
      <c r="I107">
        <v>39</v>
      </c>
      <c r="J107" s="1" t="str">
        <f ca="1">IF(Tabela1[[#This Row],[Idade]]&lt;18, Tabela1[[#This Row],[Nome do Membro]], "")</f>
        <v xml:space="preserve">MARIA LUIZA MORAES BENEVIDES     </v>
      </c>
      <c r="K107" s="1">
        <f t="shared" si="2"/>
        <v>15</v>
      </c>
      <c r="L107" s="1" t="str">
        <f>TEXT(Tabela1[[#This Row],[Data de Nascimento]],"MMM")</f>
        <v>out</v>
      </c>
      <c r="M107" s="1">
        <f>YEAR(Tabela1[[#This Row],[Data de Nascimento]])</f>
        <v>2015</v>
      </c>
      <c r="N107" s="1">
        <v>1</v>
      </c>
    </row>
    <row r="108" spans="1:14">
      <c r="A108" s="1" t="s">
        <v>218</v>
      </c>
      <c r="B108" s="1" t="s">
        <v>10</v>
      </c>
      <c r="C108" s="3">
        <f t="shared" ca="1" si="3"/>
        <v>2</v>
      </c>
      <c r="D108" s="2">
        <v>44866</v>
      </c>
      <c r="G108" s="1" t="s">
        <v>15</v>
      </c>
      <c r="I108">
        <v>39</v>
      </c>
      <c r="J108" s="1" t="str">
        <f ca="1">IF(Tabela1[[#This Row],[Idade]]&lt;18, Tabela1[[#This Row],[Nome do Membro]], "")</f>
        <v xml:space="preserve">MELISSA MORAES BENEVIDES      </v>
      </c>
      <c r="K108" s="1">
        <f t="shared" si="2"/>
        <v>1</v>
      </c>
      <c r="L108" s="1" t="str">
        <f>TEXT(Tabela1[[#This Row],[Data de Nascimento]],"MMM")</f>
        <v>nov</v>
      </c>
      <c r="M108" s="1">
        <f>YEAR(Tabela1[[#This Row],[Data de Nascimento]])</f>
        <v>2022</v>
      </c>
      <c r="N108" s="1">
        <v>1</v>
      </c>
    </row>
    <row r="109" spans="1:14">
      <c r="A109" s="1" t="s">
        <v>221</v>
      </c>
      <c r="B109" s="1" t="s">
        <v>10</v>
      </c>
      <c r="C109" s="3">
        <f t="shared" ca="1" si="3"/>
        <v>53</v>
      </c>
      <c r="D109" s="2">
        <v>26121</v>
      </c>
      <c r="E109" s="1" t="s">
        <v>222</v>
      </c>
      <c r="F109" s="1" t="s">
        <v>223</v>
      </c>
      <c r="G109" s="1" t="s">
        <v>15</v>
      </c>
      <c r="I109">
        <v>40</v>
      </c>
      <c r="J109" s="1" t="str">
        <f ca="1">IF(Tabela1[[#This Row],[Idade]]&lt;18, Tabela1[[#This Row],[Nome do Membro]], "")</f>
        <v/>
      </c>
      <c r="K109" s="1">
        <f t="shared" si="2"/>
        <v>7</v>
      </c>
      <c r="L109" s="1" t="str">
        <f>TEXT(Tabela1[[#This Row],[Data de Nascimento]],"MMM")</f>
        <v>jul</v>
      </c>
      <c r="M109" s="1">
        <f>YEAR(Tabela1[[#This Row],[Data de Nascimento]])</f>
        <v>1971</v>
      </c>
      <c r="N109" s="1">
        <v>1</v>
      </c>
    </row>
    <row r="110" spans="1:14">
      <c r="A110" s="1" t="s">
        <v>224</v>
      </c>
      <c r="B110" s="1" t="s">
        <v>8</v>
      </c>
      <c r="C110" s="3">
        <f t="shared" ca="1" si="3"/>
        <v>24</v>
      </c>
      <c r="D110" s="2">
        <v>36735</v>
      </c>
      <c r="E110" s="1" t="s">
        <v>226</v>
      </c>
      <c r="F110" s="1" t="s">
        <v>228</v>
      </c>
      <c r="G110" s="1" t="s">
        <v>15</v>
      </c>
      <c r="I110">
        <v>41</v>
      </c>
      <c r="J110" s="1" t="str">
        <f ca="1">IF(Tabela1[[#This Row],[Idade]]&lt;18, Tabela1[[#This Row],[Nome do Membro]], "")</f>
        <v/>
      </c>
      <c r="K110" s="1">
        <f t="shared" si="2"/>
        <v>28</v>
      </c>
      <c r="L110" s="1" t="str">
        <f>TEXT(Tabela1[[#This Row],[Data de Nascimento]],"MMM")</f>
        <v>jul</v>
      </c>
      <c r="M110" s="1">
        <f>YEAR(Tabela1[[#This Row],[Data de Nascimento]])</f>
        <v>2000</v>
      </c>
      <c r="N110" s="1">
        <v>1</v>
      </c>
    </row>
    <row r="111" spans="1:14">
      <c r="A111" s="1" t="s">
        <v>225</v>
      </c>
      <c r="B111" s="1" t="s">
        <v>9</v>
      </c>
      <c r="C111" s="3">
        <f t="shared" ca="1" si="3"/>
        <v>24</v>
      </c>
      <c r="D111" s="2">
        <v>36914</v>
      </c>
      <c r="E111" s="1" t="s">
        <v>227</v>
      </c>
      <c r="F111" s="1" t="s">
        <v>228</v>
      </c>
      <c r="G111" s="1" t="s">
        <v>15</v>
      </c>
      <c r="I111">
        <v>41</v>
      </c>
      <c r="J111" s="1" t="str">
        <f ca="1">IF(Tabela1[[#This Row],[Idade]]&lt;18, Tabela1[[#This Row],[Nome do Membro]], "")</f>
        <v/>
      </c>
      <c r="K111" s="1">
        <f t="shared" si="2"/>
        <v>23</v>
      </c>
      <c r="L111" s="1" t="str">
        <f>TEXT(Tabela1[[#This Row],[Data de Nascimento]],"MMM")</f>
        <v>jan</v>
      </c>
      <c r="M111" s="1">
        <f>YEAR(Tabela1[[#This Row],[Data de Nascimento]])</f>
        <v>2001</v>
      </c>
      <c r="N111" s="1">
        <v>1</v>
      </c>
    </row>
  </sheetData>
  <phoneticPr fontId="2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BANCO DE DADOS</vt:lpstr>
    </vt:vector>
  </TitlesOfParts>
  <Company>IBM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EVANDRO CASTRO ABREU</dc:creator>
  <cp:lastModifiedBy>EVANDRO CASTRO ABREU</cp:lastModifiedBy>
  <dcterms:created xsi:type="dcterms:W3CDTF">2024-10-23T15:30:26Z</dcterms:created>
  <dcterms:modified xsi:type="dcterms:W3CDTF">2025-03-09T03:54:47Z</dcterms:modified>
</cp:coreProperties>
</file>